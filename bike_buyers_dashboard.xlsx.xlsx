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2"/>
  </bookViews>
  <sheets>
    <sheet name="bike_buyers" sheetId="1" r:id="rId1"/>
    <sheet name="Sheet1" sheetId="2" r:id="rId2"/>
    <sheet name="Sheet2" sheetId="3" r:id="rId3"/>
  </sheets>
  <definedNames>
    <definedName name="Slicer_AGE_GROUP">#N/A</definedName>
    <definedName name="Slicer_Gender">#N/A</definedName>
    <definedName name="Slicer_Marital_Status">#N/A</definedName>
    <definedName name="Slicer_INCOME_SLAB">#N/A</definedName>
    <definedName name="_xlnm._FilterDatabase" localSheetId="0" hidden="1">bike_buyers!$A$1:$N$1001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<sst xmlns="http://schemas.openxmlformats.org/spreadsheetml/2006/main" count="7746" uniqueCount="50">
  <si>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</si>
  <si>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</si>
  <si>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</si>
  <si>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</si>
  <si>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</si>
  <si>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</si>
  <si>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</si>
  <si>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</si>
  <si>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</si>
  <si>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</si>
  <si>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</si>
  <si>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</si>
  <si>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GROUP</t>
  </si>
  <si>
    <t>Purchased Bike</t>
  </si>
  <si>
    <t>INCOME SLAB</t>
  </si>
  <si>
    <t>Children no.</t>
  </si>
  <si>
    <t>M</t>
  </si>
  <si>
    <t>F</t>
  </si>
  <si>
    <t>Bachelors</t>
  </si>
  <si>
    <t>Skilled Manual</t>
  </si>
  <si>
    <t>Yes</t>
  </si>
  <si>
    <t>0-1 Miles</t>
  </si>
  <si>
    <t>Europe</t>
  </si>
  <si>
    <t>Partial College</t>
  </si>
  <si>
    <t>Clerical</t>
  </si>
  <si>
    <t>Professional</t>
  </si>
  <si>
    <t>No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</si>
  <si>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</si>
  <si>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</si>
  <si>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</si>
  <si>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</si>
  <si>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</si>
  <si>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</si>
  <si>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</si>
  <si>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</si>
  <si>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</si>
  <si>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</si>
  <si>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</si>
  <si>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</si>
  <si>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Count of Purchased Bike</t>
  </si>
  <si>
    <t>&lt;=2</t>
  </si>
  <si>
    <t>&gt;2</t>
  </si>
  <si>
    <t>Grand Total</t>
  </si>
  <si>
    <t>(ALL)</t>
  </si>
  <si>
    <t>low income</t>
  </si>
  <si>
    <t>Mid income</t>
  </si>
  <si>
    <t>High income</t>
  </si>
  <si>
    <t>YOUNG_ADULTS</t>
  </si>
  <si>
    <t>MIDDLE_AGED</t>
  </si>
  <si>
    <t>OLD-AGED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</si>
</sst>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&quot;$&quot;#,##0.00"/>
  </numFmts>
  <fonts count="22">
    <font>
      <sz val="11"/>
      <color theme="1"/>
      <name val="Calibri"/>
      <charset val="134"/>
      <scheme val="minor"/>
    </font>
    <font>
      <b/>
      <sz val="11"/>
      <color theme="1"/>
      <name val="Arial Black"/>
      <charset val="134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18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81" fontId="0" fillId="0" borderId="0" xfId="0" applyNumberFormat="1" applyAlignment="1">
      <alignment horizontal="center"/>
    </xf>
    <xf numFmtId="18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1000 (1).xlsx]Sheet1!PivotTable13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&lt;=2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Sheet1!$A$5:$A$8</c:f>
              <c:strCache>
                <c:ptCount val="3"/>
                <c:pt idx="0">
                  <c:v>low income</c:v>
                </c:pt>
                <c:pt idx="1">
                  <c:v>Mid income</c:v>
                </c:pt>
                <c:pt idx="2">
                  <c:v>High income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189</c:v>
                </c:pt>
                <c:pt idx="1">
                  <c:v>135</c:v>
                </c:pt>
                <c:pt idx="2">
                  <c:v>24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&gt;2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Sheet1!$A$5:$A$8</c:f>
              <c:strCache>
                <c:ptCount val="3"/>
                <c:pt idx="0">
                  <c:v>low income</c:v>
                </c:pt>
                <c:pt idx="1">
                  <c:v>Mid income</c:v>
                </c:pt>
                <c:pt idx="2">
                  <c:v>High income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45</c:v>
                </c:pt>
                <c:pt idx="1">
                  <c:v>85</c:v>
                </c:pt>
                <c:pt idx="2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1375232"/>
        <c:axId val="81376768"/>
      </c:barChart>
      <c:catAx>
        <c:axId val="8137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76768"/>
        <c:crosses val="autoZero"/>
        <c:auto val="1"/>
        <c:lblAlgn val="ctr"/>
        <c:lblOffset val="100"/>
        <c:noMultiLvlLbl val="0"/>
      </c:catAx>
      <c:valAx>
        <c:axId val="8137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7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179646-e898-466c-aebb-0ce92d9693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1000 (1).xlsx]Sheet1!PivotTable14</c:name>
    <c:fmtId val="2"/>
  </c:pivotSource>
  <c:chart>
    <c:title>
      <c:layout>
        <c:manualLayout>
          <c:xMode val="edge"/>
          <c:yMode val="edge"/>
          <c:x val="0.453924193321122"/>
          <c:y val="0.038470344792412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75"/>
      <c:rotY val="0"/>
      <c:depthPercent val="100"/>
      <c:rAngAx val="0"/>
      <c:perspective val="30"/>
    </c:view3D>
    <c:floor>
      <c:thickness val="0"/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Sheet1!$B$13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6">
                      <a:lumMod val="60000"/>
                      <a:hueOff val="-1670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hueOff val="-167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-0.0997604621671129"/>
                  <c:y val="-0.0659491641859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659433563477526"/>
                  <c:y val="-0.0577055186626975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spc="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Management, 41, 19%</a:t>
                    </a: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642525010567846"/>
                  <c:y val="-0.17861231967025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spc="0" baseline="0">
                        <a:solidFill>
                          <a:schemeClr val="accent4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 Skilled Manual, 60, 27%</a:t>
                    </a: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541073693109765"/>
                  <c:y val="-0.266544538584841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spc="0" baseline="0">
                        <a:solidFill>
                          <a:schemeClr val="accent6">
                            <a:lumMod val="6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 Professional, 118, 54%</a:t>
                    </a: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388896716922643"/>
                  <c:y val="-0.19235172887565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316894462449"/>
                      <c:h val="0.166475841538814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Sheet1!$A$14:$A$19</c:f>
              <c:strCache>
                <c:ptCount val="5"/>
                <c:pt idx="0">
                  <c:v>Manual</c:v>
                </c:pt>
                <c:pt idx="1">
                  <c:v>Management</c:v>
                </c:pt>
                <c:pt idx="2">
                  <c:v>Clerical</c:v>
                </c:pt>
                <c:pt idx="3">
                  <c:v>Skilled Manual</c:v>
                </c:pt>
                <c:pt idx="4">
                  <c:v>Professional</c:v>
                </c:pt>
              </c:strCache>
            </c:strRef>
          </c:cat>
          <c:val>
            <c:numRef>
              <c:f>Sheet1!$B$14:$B$19</c:f>
              <c:numCache>
                <c:formatCode>General</c:formatCode>
                <c:ptCount val="5"/>
                <c:pt idx="0">
                  <c:v>59</c:v>
                </c:pt>
                <c:pt idx="1">
                  <c:v>73</c:v>
                </c:pt>
                <c:pt idx="2">
                  <c:v>95</c:v>
                </c:pt>
                <c:pt idx="3">
                  <c:v>118</c:v>
                </c:pt>
                <c:pt idx="4">
                  <c:v>150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</c:pie3DChart>
    </c:plotArea>
    <c:plotVisOnly val="1"/>
    <c:dispBlanksAs val="zero"/>
    <c:showDLblsOverMax val="0"/>
    <c:extLst>
      <c:ext uri="{0b15fc19-7d7d-44ad-8c2d-2c3a37ce22c3}">
        <chartProps xmlns="https://web.wps.cn/et/2018/main" chartId="{0afaedf1-abf1-4a9d-8b22-8586c89df34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1000 (1).xlsx]Sheet1!PivotTable16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75"/>
      <c:rotY val="0"/>
      <c:depthPercent val="100"/>
      <c:rAngAx val="0"/>
      <c:perspective val="30"/>
    </c:view3D>
    <c:floor>
      <c:thickness val="0"/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922328718494853"/>
          <c:y val="0.30235485275568"/>
          <c:w val="0.811274405395811"/>
          <c:h val="0.602675337616477"/>
        </c:manualLayout>
      </c:layout>
      <c:pie3DChart>
        <c:varyColors val="1"/>
        <c:ser>
          <c:idx val="0"/>
          <c:order val="0"/>
          <c:tx>
            <c:strRef>
              <c:f>Sheet1!$E$24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24133149582458"/>
                  <c:y val="-0.10009597028761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68233642823387"/>
                  <c:y val="-0.0498875749350137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spc="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Pacific, 61, 28%</a:t>
                    </a: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93508457973571"/>
                  <c:y val="-0.133531805435388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spc="0" baseline="0">
                        <a:solidFill>
                          <a:schemeClr val="accent3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North America, 150, 68%</a:t>
                    </a: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Sheet1!$D$25:$D$28</c:f>
              <c:strCache>
                <c:ptCount val="3"/>
                <c:pt idx="0">
                  <c:v>Pacific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Sheet1!$E$25:$E$28</c:f>
              <c:numCache>
                <c:formatCode>General</c:formatCode>
                <c:ptCount val="3"/>
                <c:pt idx="0">
                  <c:v>119</c:v>
                </c:pt>
                <c:pt idx="1">
                  <c:v>156</c:v>
                </c:pt>
                <c:pt idx="2">
                  <c:v>220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</c:pie3DChart>
    </c:plotArea>
    <c:plotVisOnly val="1"/>
    <c:dispBlanksAs val="zero"/>
    <c:showDLblsOverMax val="0"/>
    <c:extLst>
      <c:ext uri="{0b15fc19-7d7d-44ad-8c2d-2c3a37ce22c3}">
        <chartProps xmlns="https://web.wps.cn/et/2018/main" chartId="{785cd2a8-b07e-4e0a-a984-be3cc060cf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1000 (1).xlsx]Sheet1!PivotTable15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75"/>
      <c:rotY val="0"/>
      <c:depthPercent val="100"/>
      <c:rAngAx val="0"/>
      <c:perspective val="30"/>
    </c:view3D>
    <c:floor>
      <c:thickness val="0"/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Sheet1!$B$23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684736091298146"/>
                  <c:y val="-0.077348066298342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94246565057437"/>
                  <c:y val="-0.044198895027624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92582025677603"/>
                  <c:y val="-0.00276243093922652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spc="0" baseline="0">
                        <a:solidFill>
                          <a:schemeClr val="accent6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 OLD-AGED, 27, 11%</a:t>
                    </a: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Sheet1!$A$24:$A$27</c:f>
              <c:strCache>
                <c:ptCount val="3"/>
                <c:pt idx="0">
                  <c:v>YOUNG_ADULTS</c:v>
                </c:pt>
                <c:pt idx="1">
                  <c:v>MIDDLE_AGED</c:v>
                </c:pt>
                <c:pt idx="2">
                  <c:v>OLD-AGED</c:v>
                </c:pt>
              </c:strCache>
            </c:strRef>
          </c:cat>
          <c:val>
            <c:numRef>
              <c:f>Sheet1!$B$24:$B$27</c:f>
              <c:numCache>
                <c:formatCode>General</c:formatCode>
                <c:ptCount val="3"/>
                <c:pt idx="0">
                  <c:v>121</c:v>
                </c:pt>
                <c:pt idx="1">
                  <c:v>319</c:v>
                </c:pt>
                <c:pt idx="2">
                  <c:v>55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</c:plotArea>
    <c:plotVisOnly val="1"/>
    <c:dispBlanksAs val="zero"/>
    <c:showDLblsOverMax val="0"/>
    <c:extLst>
      <c:ext uri="{0b15fc19-7d7d-44ad-8c2d-2c3a37ce22c3}">
        <chartProps xmlns="https://web.wps.cn/et/2018/main" chartId="{3fc03ced-77be-4052-aa84-46fb587da0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1000 (1).xlsx]Sheet1!PivotTable11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Sheet1!$G$7:$H$16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YOUNG_ADULTS</c:v>
                  </c:pt>
                  <c:pt idx="2">
                    <c:v>MIDDLE_AGED</c:v>
                  </c:pt>
                  <c:pt idx="4">
                    <c:v>OLD-AGED</c:v>
                  </c:pt>
                </c:lvl>
              </c:multiLvlStrCache>
            </c:multiLvlStrRef>
          </c:cat>
          <c:val>
            <c:numRef>
              <c:f>Sheet1!$I$7:$I$16</c:f>
              <c:numCache>
                <c:formatCode>General</c:formatCode>
                <c:ptCount val="6"/>
                <c:pt idx="0">
                  <c:v>56</c:v>
                </c:pt>
                <c:pt idx="1">
                  <c:v>65</c:v>
                </c:pt>
                <c:pt idx="2">
                  <c:v>164</c:v>
                </c:pt>
                <c:pt idx="3">
                  <c:v>155</c:v>
                </c:pt>
                <c:pt idx="4">
                  <c:v>23</c:v>
                </c:pt>
                <c:pt idx="5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2020992"/>
        <c:axId val="82022784"/>
      </c:barChart>
      <c:catAx>
        <c:axId val="82020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22784"/>
        <c:crosses val="autoZero"/>
        <c:auto val="1"/>
        <c:lblAlgn val="ctr"/>
        <c:lblOffset val="100"/>
        <c:noMultiLvlLbl val="0"/>
      </c:catAx>
      <c:valAx>
        <c:axId val="8202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2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c2f305-8fc8-446f-b012-22b3de365f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1000 (1).xlsx]Sheet1!PivotTable3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183739090491502"/>
                  <c:y val="0.033605600933488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183739090491502"/>
                  <c:y val="-0.033605600933488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0.03080513418903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Sheet1!$D$14:$D$19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Sheet1!$E$14:$E$19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82198912"/>
        <c:axId val="82200448"/>
      </c:lineChart>
      <c:catAx>
        <c:axId val="82198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200448"/>
        <c:crosses val="autoZero"/>
        <c:auto val="1"/>
        <c:lblAlgn val="ctr"/>
        <c:lblOffset val="100"/>
        <c:noMultiLvlLbl val="0"/>
      </c:catAx>
      <c:valAx>
        <c:axId val="8220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19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2b1e2b-cba9-4c9f-b98a-8504805e9d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7</xdr:col>
      <xdr:colOff>223520</xdr:colOff>
      <xdr:row>15</xdr:row>
      <xdr:rowOff>0</xdr:rowOff>
    </xdr:to>
    <xdr:graphicFrame>
      <xdr:nvGraphicFramePr>
        <xdr:cNvPr id="3" name="Chart 2"/>
        <xdr:cNvGraphicFramePr/>
      </xdr:nvGraphicFramePr>
      <xdr:xfrm>
        <a:off x="7620" y="7620"/>
        <a:ext cx="4483100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15</xdr:row>
      <xdr:rowOff>8255</xdr:rowOff>
    </xdr:from>
    <xdr:to>
      <xdr:col>7</xdr:col>
      <xdr:colOff>247015</xdr:colOff>
      <xdr:row>30</xdr:row>
      <xdr:rowOff>38100</xdr:rowOff>
    </xdr:to>
    <xdr:graphicFrame>
      <xdr:nvGraphicFramePr>
        <xdr:cNvPr id="4" name="Chart 3"/>
        <xdr:cNvGraphicFramePr/>
      </xdr:nvGraphicFramePr>
      <xdr:xfrm>
        <a:off x="7620" y="2751455"/>
        <a:ext cx="4506595" cy="277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243840</xdr:colOff>
      <xdr:row>0</xdr:row>
      <xdr:rowOff>7620</xdr:rowOff>
    </xdr:from>
    <xdr:to>
      <xdr:col>13</xdr:col>
      <xdr:colOff>194945</xdr:colOff>
      <xdr:row>14</xdr:row>
      <xdr:rowOff>158750</xdr:rowOff>
    </xdr:to>
    <xdr:graphicFrame>
      <xdr:nvGraphicFramePr>
        <xdr:cNvPr id="5" name="Chart 4"/>
        <xdr:cNvGraphicFramePr/>
      </xdr:nvGraphicFramePr>
      <xdr:xfrm>
        <a:off x="4511040" y="7620"/>
        <a:ext cx="3608705" cy="271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236220</xdr:colOff>
      <xdr:row>15</xdr:row>
      <xdr:rowOff>0</xdr:rowOff>
    </xdr:from>
    <xdr:to>
      <xdr:col>13</xdr:col>
      <xdr:colOff>139700</xdr:colOff>
      <xdr:row>30</xdr:row>
      <xdr:rowOff>15240</xdr:rowOff>
    </xdr:to>
    <xdr:graphicFrame>
      <xdr:nvGraphicFramePr>
        <xdr:cNvPr id="6" name="Chart 5"/>
        <xdr:cNvGraphicFramePr/>
      </xdr:nvGraphicFramePr>
      <xdr:xfrm>
        <a:off x="4503420" y="2743200"/>
        <a:ext cx="3561080" cy="275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175260</xdr:colOff>
      <xdr:row>0</xdr:row>
      <xdr:rowOff>31750</xdr:rowOff>
    </xdr:from>
    <xdr:to>
      <xdr:col>20</xdr:col>
      <xdr:colOff>2540</xdr:colOff>
      <xdr:row>15</xdr:row>
      <xdr:rowOff>1270</xdr:rowOff>
    </xdr:to>
    <xdr:graphicFrame>
      <xdr:nvGraphicFramePr>
        <xdr:cNvPr id="8" name="Chart 7"/>
        <xdr:cNvGraphicFramePr/>
      </xdr:nvGraphicFramePr>
      <xdr:xfrm>
        <a:off x="8100060" y="31750"/>
        <a:ext cx="409448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137160</xdr:colOff>
      <xdr:row>15</xdr:row>
      <xdr:rowOff>6985</xdr:rowOff>
    </xdr:from>
    <xdr:to>
      <xdr:col>20</xdr:col>
      <xdr:colOff>17145</xdr:colOff>
      <xdr:row>29</xdr:row>
      <xdr:rowOff>167640</xdr:rowOff>
    </xdr:to>
    <xdr:graphicFrame>
      <xdr:nvGraphicFramePr>
        <xdr:cNvPr id="2" name="Chart 1"/>
        <xdr:cNvGraphicFramePr/>
      </xdr:nvGraphicFramePr>
      <xdr:xfrm>
        <a:off x="8061960" y="2750185"/>
        <a:ext cx="4147185" cy="2720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17780</xdr:colOff>
      <xdr:row>0</xdr:row>
      <xdr:rowOff>24130</xdr:rowOff>
    </xdr:from>
    <xdr:to>
      <xdr:col>23</xdr:col>
      <xdr:colOff>10795</xdr:colOff>
      <xdr:row>6</xdr:row>
      <xdr:rowOff>149860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INCOME SLAB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COME SLAB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09780" y="24130"/>
              <a:ext cx="1821815" cy="1223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25400</xdr:colOff>
      <xdr:row>6</xdr:row>
      <xdr:rowOff>152400</xdr:rowOff>
    </xdr:from>
    <xdr:to>
      <xdr:col>23</xdr:col>
      <xdr:colOff>25400</xdr:colOff>
      <xdr:row>12</xdr:row>
      <xdr:rowOff>12700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17400" y="1249680"/>
              <a:ext cx="1828800" cy="957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25400</xdr:colOff>
      <xdr:row>12</xdr:row>
      <xdr:rowOff>15240</xdr:rowOff>
    </xdr:from>
    <xdr:to>
      <xdr:col>23</xdr:col>
      <xdr:colOff>25400</xdr:colOff>
      <xdr:row>17</xdr:row>
      <xdr:rowOff>73660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17400" y="2209800"/>
              <a:ext cx="1828800" cy="972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25400</xdr:colOff>
      <xdr:row>17</xdr:row>
      <xdr:rowOff>76200</xdr:rowOff>
    </xdr:from>
    <xdr:to>
      <xdr:col>23</xdr:col>
      <xdr:colOff>25400</xdr:colOff>
      <xdr:row>24</xdr:row>
      <xdr:rowOff>49530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AGE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17400" y="3185160"/>
              <a:ext cx="1828800" cy="1253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1.7956828704" refreshedBy="Lenovo" recordCount="1026">
  <cacheSource type="worksheet">
    <worksheetSource ref="A1:P1027" sheet="bike_buyers"/>
  </cacheSource>
  <cacheFields count="16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"/>
        <s v="S"/>
      </sharedItems>
    </cacheField>
    <cacheField name="Gender" numFmtId="0">
      <sharedItems count="2">
        <s v="F"/>
        <s v="M"/>
      </sharedItems>
    </cacheField>
    <cacheField name="Income" numFmtId="181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ntainsBlank="1" count="2">
        <s v="Yes"/>
        <m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GROUP" numFmtId="0">
      <sharedItems count="3">
        <s v="MIDDLE_AGED"/>
        <s v="OLD-AGED"/>
        <s v="YOUNG_ADULTS"/>
      </sharedItems>
    </cacheField>
    <cacheField name="Purchased Bike" numFmtId="0">
      <sharedItems containsBlank="1" count="2">
        <m/>
        <s v="Yes"/>
      </sharedItems>
    </cacheField>
    <cacheField name="INCOME SLAB" numFmtId="0">
      <sharedItems count="3">
        <s v="low income"/>
        <s v="Mid income"/>
        <s v="High income"/>
      </sharedItems>
    </cacheField>
    <cacheField name="Children no." numFmtId="0">
      <sharedItems count="2">
        <s v="&lt;=2"/>
        <s v="&gt;2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6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  <x v="0"/>
    <x v="1"/>
  </r>
  <r>
    <x v="2"/>
    <x v="0"/>
    <x v="1"/>
    <x v="2"/>
    <x v="2"/>
    <x v="1"/>
    <x v="2"/>
    <x v="1"/>
    <x v="2"/>
    <x v="1"/>
    <x v="0"/>
    <x v="2"/>
    <x v="1"/>
    <x v="0"/>
    <x v="1"/>
    <x v="1"/>
  </r>
  <r>
    <x v="3"/>
    <x v="1"/>
    <x v="1"/>
    <x v="3"/>
    <x v="3"/>
    <x v="0"/>
    <x v="2"/>
    <x v="0"/>
    <x v="1"/>
    <x v="2"/>
    <x v="1"/>
    <x v="3"/>
    <x v="0"/>
    <x v="1"/>
    <x v="1"/>
    <x v="0"/>
  </r>
  <r>
    <x v="4"/>
    <x v="1"/>
    <x v="1"/>
    <x v="1"/>
    <x v="3"/>
    <x v="0"/>
    <x v="1"/>
    <x v="1"/>
    <x v="0"/>
    <x v="0"/>
    <x v="0"/>
    <x v="4"/>
    <x v="0"/>
    <x v="1"/>
    <x v="0"/>
    <x v="0"/>
  </r>
  <r>
    <x v="5"/>
    <x v="0"/>
    <x v="0"/>
    <x v="4"/>
    <x v="4"/>
    <x v="1"/>
    <x v="3"/>
    <x v="0"/>
    <x v="0"/>
    <x v="3"/>
    <x v="0"/>
    <x v="5"/>
    <x v="0"/>
    <x v="0"/>
    <x v="0"/>
    <x v="0"/>
  </r>
  <r>
    <x v="6"/>
    <x v="1"/>
    <x v="1"/>
    <x v="5"/>
    <x v="4"/>
    <x v="2"/>
    <x v="4"/>
    <x v="0"/>
    <x v="3"/>
    <x v="0"/>
    <x v="1"/>
    <x v="6"/>
    <x v="2"/>
    <x v="1"/>
    <x v="2"/>
    <x v="0"/>
  </r>
  <r>
    <x v="7"/>
    <x v="0"/>
    <x v="1"/>
    <x v="0"/>
    <x v="0"/>
    <x v="0"/>
    <x v="0"/>
    <x v="0"/>
    <x v="0"/>
    <x v="0"/>
    <x v="0"/>
    <x v="1"/>
    <x v="0"/>
    <x v="1"/>
    <x v="0"/>
    <x v="0"/>
  </r>
  <r>
    <x v="8"/>
    <x v="0"/>
    <x v="1"/>
    <x v="6"/>
    <x v="4"/>
    <x v="3"/>
    <x v="1"/>
    <x v="0"/>
    <x v="2"/>
    <x v="2"/>
    <x v="1"/>
    <x v="7"/>
    <x v="1"/>
    <x v="0"/>
    <x v="0"/>
    <x v="0"/>
  </r>
  <r>
    <x v="9"/>
    <x v="0"/>
    <x v="1"/>
    <x v="7"/>
    <x v="4"/>
    <x v="1"/>
    <x v="3"/>
    <x v="0"/>
    <x v="1"/>
    <x v="0"/>
    <x v="0"/>
    <x v="8"/>
    <x v="0"/>
    <x v="1"/>
    <x v="2"/>
    <x v="0"/>
  </r>
  <r>
    <x v="10"/>
    <x v="0"/>
    <x v="0"/>
    <x v="1"/>
    <x v="1"/>
    <x v="2"/>
    <x v="0"/>
    <x v="1"/>
    <x v="2"/>
    <x v="3"/>
    <x v="1"/>
    <x v="9"/>
    <x v="0"/>
    <x v="1"/>
    <x v="0"/>
    <x v="1"/>
  </r>
  <r>
    <x v="11"/>
    <x v="1"/>
    <x v="0"/>
    <x v="8"/>
    <x v="3"/>
    <x v="0"/>
    <x v="2"/>
    <x v="1"/>
    <x v="3"/>
    <x v="4"/>
    <x v="1"/>
    <x v="4"/>
    <x v="0"/>
    <x v="0"/>
    <x v="1"/>
    <x v="0"/>
  </r>
  <r>
    <x v="12"/>
    <x v="0"/>
    <x v="1"/>
    <x v="9"/>
    <x v="2"/>
    <x v="1"/>
    <x v="2"/>
    <x v="0"/>
    <x v="0"/>
    <x v="0"/>
    <x v="0"/>
    <x v="10"/>
    <x v="0"/>
    <x v="0"/>
    <x v="2"/>
    <x v="1"/>
  </r>
  <r>
    <x v="13"/>
    <x v="0"/>
    <x v="1"/>
    <x v="0"/>
    <x v="4"/>
    <x v="1"/>
    <x v="1"/>
    <x v="0"/>
    <x v="1"/>
    <x v="3"/>
    <x v="0"/>
    <x v="11"/>
    <x v="2"/>
    <x v="1"/>
    <x v="0"/>
    <x v="0"/>
  </r>
  <r>
    <x v="14"/>
    <x v="1"/>
    <x v="1"/>
    <x v="10"/>
    <x v="0"/>
    <x v="1"/>
    <x v="0"/>
    <x v="1"/>
    <x v="1"/>
    <x v="0"/>
    <x v="1"/>
    <x v="12"/>
    <x v="0"/>
    <x v="1"/>
    <x v="1"/>
    <x v="0"/>
  </r>
  <r>
    <x v="15"/>
    <x v="1"/>
    <x v="0"/>
    <x v="4"/>
    <x v="4"/>
    <x v="2"/>
    <x v="3"/>
    <x v="0"/>
    <x v="1"/>
    <x v="0"/>
    <x v="0"/>
    <x v="13"/>
    <x v="0"/>
    <x v="1"/>
    <x v="0"/>
    <x v="0"/>
  </r>
  <r>
    <x v="16"/>
    <x v="1"/>
    <x v="1"/>
    <x v="1"/>
    <x v="1"/>
    <x v="1"/>
    <x v="1"/>
    <x v="1"/>
    <x v="2"/>
    <x v="3"/>
    <x v="1"/>
    <x v="14"/>
    <x v="1"/>
    <x v="1"/>
    <x v="0"/>
    <x v="1"/>
  </r>
  <r>
    <x v="17"/>
    <x v="0"/>
    <x v="0"/>
    <x v="1"/>
    <x v="0"/>
    <x v="0"/>
    <x v="1"/>
    <x v="0"/>
    <x v="0"/>
    <x v="0"/>
    <x v="0"/>
    <x v="15"/>
    <x v="0"/>
    <x v="0"/>
    <x v="0"/>
    <x v="0"/>
  </r>
  <r>
    <x v="18"/>
    <x v="1"/>
    <x v="1"/>
    <x v="0"/>
    <x v="4"/>
    <x v="1"/>
    <x v="1"/>
    <x v="0"/>
    <x v="1"/>
    <x v="3"/>
    <x v="0"/>
    <x v="11"/>
    <x v="2"/>
    <x v="1"/>
    <x v="0"/>
    <x v="0"/>
  </r>
  <r>
    <x v="19"/>
    <x v="1"/>
    <x v="1"/>
    <x v="6"/>
    <x v="4"/>
    <x v="3"/>
    <x v="1"/>
    <x v="0"/>
    <x v="2"/>
    <x v="2"/>
    <x v="1"/>
    <x v="10"/>
    <x v="0"/>
    <x v="1"/>
    <x v="0"/>
    <x v="0"/>
  </r>
  <r>
    <x v="20"/>
    <x v="0"/>
    <x v="0"/>
    <x v="0"/>
    <x v="3"/>
    <x v="4"/>
    <x v="1"/>
    <x v="0"/>
    <x v="0"/>
    <x v="0"/>
    <x v="0"/>
    <x v="4"/>
    <x v="0"/>
    <x v="1"/>
    <x v="0"/>
    <x v="0"/>
  </r>
  <r>
    <x v="21"/>
    <x v="1"/>
    <x v="0"/>
    <x v="2"/>
    <x v="3"/>
    <x v="0"/>
    <x v="2"/>
    <x v="0"/>
    <x v="3"/>
    <x v="4"/>
    <x v="1"/>
    <x v="11"/>
    <x v="2"/>
    <x v="0"/>
    <x v="1"/>
    <x v="0"/>
  </r>
  <r>
    <x v="22"/>
    <x v="1"/>
    <x v="1"/>
    <x v="0"/>
    <x v="4"/>
    <x v="1"/>
    <x v="1"/>
    <x v="0"/>
    <x v="0"/>
    <x v="3"/>
    <x v="0"/>
    <x v="11"/>
    <x v="2"/>
    <x v="1"/>
    <x v="0"/>
    <x v="0"/>
  </r>
  <r>
    <x v="23"/>
    <x v="0"/>
    <x v="0"/>
    <x v="2"/>
    <x v="2"/>
    <x v="2"/>
    <x v="4"/>
    <x v="1"/>
    <x v="4"/>
    <x v="2"/>
    <x v="0"/>
    <x v="16"/>
    <x v="1"/>
    <x v="0"/>
    <x v="1"/>
    <x v="1"/>
  </r>
  <r>
    <x v="24"/>
    <x v="1"/>
    <x v="1"/>
    <x v="0"/>
    <x v="4"/>
    <x v="1"/>
    <x v="1"/>
    <x v="1"/>
    <x v="1"/>
    <x v="0"/>
    <x v="0"/>
    <x v="17"/>
    <x v="2"/>
    <x v="0"/>
    <x v="0"/>
    <x v="0"/>
  </r>
  <r>
    <x v="25"/>
    <x v="1"/>
    <x v="1"/>
    <x v="1"/>
    <x v="0"/>
    <x v="0"/>
    <x v="1"/>
    <x v="0"/>
    <x v="0"/>
    <x v="0"/>
    <x v="0"/>
    <x v="18"/>
    <x v="1"/>
    <x v="0"/>
    <x v="0"/>
    <x v="0"/>
  </r>
  <r>
    <x v="26"/>
    <x v="1"/>
    <x v="1"/>
    <x v="1"/>
    <x v="3"/>
    <x v="1"/>
    <x v="1"/>
    <x v="1"/>
    <x v="1"/>
    <x v="0"/>
    <x v="0"/>
    <x v="19"/>
    <x v="2"/>
    <x v="1"/>
    <x v="0"/>
    <x v="0"/>
  </r>
  <r>
    <x v="27"/>
    <x v="1"/>
    <x v="0"/>
    <x v="11"/>
    <x v="3"/>
    <x v="0"/>
    <x v="2"/>
    <x v="1"/>
    <x v="1"/>
    <x v="2"/>
    <x v="1"/>
    <x v="8"/>
    <x v="0"/>
    <x v="0"/>
    <x v="1"/>
    <x v="0"/>
  </r>
  <r>
    <x v="28"/>
    <x v="0"/>
    <x v="1"/>
    <x v="3"/>
    <x v="2"/>
    <x v="1"/>
    <x v="0"/>
    <x v="0"/>
    <x v="2"/>
    <x v="2"/>
    <x v="1"/>
    <x v="20"/>
    <x v="0"/>
    <x v="0"/>
    <x v="1"/>
    <x v="1"/>
  </r>
  <r>
    <x v="29"/>
    <x v="1"/>
    <x v="0"/>
    <x v="6"/>
    <x v="3"/>
    <x v="3"/>
    <x v="3"/>
    <x v="1"/>
    <x v="2"/>
    <x v="0"/>
    <x v="0"/>
    <x v="21"/>
    <x v="2"/>
    <x v="1"/>
    <x v="0"/>
    <x v="0"/>
  </r>
  <r>
    <x v="30"/>
    <x v="0"/>
    <x v="0"/>
    <x v="6"/>
    <x v="4"/>
    <x v="1"/>
    <x v="3"/>
    <x v="0"/>
    <x v="0"/>
    <x v="0"/>
    <x v="0"/>
    <x v="18"/>
    <x v="1"/>
    <x v="0"/>
    <x v="0"/>
    <x v="0"/>
  </r>
  <r>
    <x v="31"/>
    <x v="0"/>
    <x v="1"/>
    <x v="4"/>
    <x v="3"/>
    <x v="1"/>
    <x v="3"/>
    <x v="1"/>
    <x v="1"/>
    <x v="0"/>
    <x v="1"/>
    <x v="22"/>
    <x v="2"/>
    <x v="1"/>
    <x v="0"/>
    <x v="0"/>
  </r>
  <r>
    <x v="32"/>
    <x v="1"/>
    <x v="0"/>
    <x v="6"/>
    <x v="3"/>
    <x v="2"/>
    <x v="3"/>
    <x v="1"/>
    <x v="1"/>
    <x v="2"/>
    <x v="0"/>
    <x v="23"/>
    <x v="2"/>
    <x v="0"/>
    <x v="0"/>
    <x v="0"/>
  </r>
  <r>
    <x v="33"/>
    <x v="1"/>
    <x v="1"/>
    <x v="2"/>
    <x v="4"/>
    <x v="2"/>
    <x v="0"/>
    <x v="1"/>
    <x v="2"/>
    <x v="3"/>
    <x v="1"/>
    <x v="5"/>
    <x v="0"/>
    <x v="1"/>
    <x v="1"/>
    <x v="0"/>
  </r>
  <r>
    <x v="34"/>
    <x v="1"/>
    <x v="1"/>
    <x v="8"/>
    <x v="2"/>
    <x v="1"/>
    <x v="2"/>
    <x v="1"/>
    <x v="2"/>
    <x v="1"/>
    <x v="0"/>
    <x v="24"/>
    <x v="1"/>
    <x v="1"/>
    <x v="1"/>
    <x v="1"/>
  </r>
  <r>
    <x v="35"/>
    <x v="1"/>
    <x v="0"/>
    <x v="4"/>
    <x v="2"/>
    <x v="3"/>
    <x v="3"/>
    <x v="1"/>
    <x v="2"/>
    <x v="0"/>
    <x v="0"/>
    <x v="3"/>
    <x v="0"/>
    <x v="0"/>
    <x v="0"/>
    <x v="1"/>
  </r>
  <r>
    <x v="36"/>
    <x v="0"/>
    <x v="0"/>
    <x v="4"/>
    <x v="4"/>
    <x v="1"/>
    <x v="3"/>
    <x v="0"/>
    <x v="1"/>
    <x v="0"/>
    <x v="0"/>
    <x v="5"/>
    <x v="0"/>
    <x v="1"/>
    <x v="0"/>
    <x v="0"/>
  </r>
  <r>
    <x v="37"/>
    <x v="1"/>
    <x v="0"/>
    <x v="1"/>
    <x v="3"/>
    <x v="1"/>
    <x v="1"/>
    <x v="1"/>
    <x v="1"/>
    <x v="1"/>
    <x v="0"/>
    <x v="25"/>
    <x v="2"/>
    <x v="0"/>
    <x v="0"/>
    <x v="0"/>
  </r>
  <r>
    <x v="38"/>
    <x v="1"/>
    <x v="1"/>
    <x v="6"/>
    <x v="3"/>
    <x v="2"/>
    <x v="3"/>
    <x v="1"/>
    <x v="1"/>
    <x v="1"/>
    <x v="0"/>
    <x v="26"/>
    <x v="2"/>
    <x v="0"/>
    <x v="0"/>
    <x v="0"/>
  </r>
  <r>
    <x v="39"/>
    <x v="1"/>
    <x v="0"/>
    <x v="4"/>
    <x v="5"/>
    <x v="3"/>
    <x v="3"/>
    <x v="0"/>
    <x v="2"/>
    <x v="0"/>
    <x v="0"/>
    <x v="8"/>
    <x v="0"/>
    <x v="1"/>
    <x v="0"/>
    <x v="1"/>
  </r>
  <r>
    <x v="40"/>
    <x v="1"/>
    <x v="0"/>
    <x v="1"/>
    <x v="4"/>
    <x v="1"/>
    <x v="1"/>
    <x v="1"/>
    <x v="0"/>
    <x v="0"/>
    <x v="0"/>
    <x v="1"/>
    <x v="0"/>
    <x v="0"/>
    <x v="0"/>
    <x v="0"/>
  </r>
  <r>
    <x v="41"/>
    <x v="1"/>
    <x v="0"/>
    <x v="0"/>
    <x v="4"/>
    <x v="0"/>
    <x v="4"/>
    <x v="0"/>
    <x v="2"/>
    <x v="2"/>
    <x v="1"/>
    <x v="27"/>
    <x v="1"/>
    <x v="1"/>
    <x v="0"/>
    <x v="0"/>
  </r>
  <r>
    <x v="42"/>
    <x v="0"/>
    <x v="0"/>
    <x v="4"/>
    <x v="0"/>
    <x v="4"/>
    <x v="3"/>
    <x v="0"/>
    <x v="0"/>
    <x v="0"/>
    <x v="0"/>
    <x v="8"/>
    <x v="0"/>
    <x v="0"/>
    <x v="0"/>
    <x v="0"/>
  </r>
  <r>
    <x v="43"/>
    <x v="0"/>
    <x v="0"/>
    <x v="9"/>
    <x v="5"/>
    <x v="1"/>
    <x v="2"/>
    <x v="1"/>
    <x v="4"/>
    <x v="2"/>
    <x v="0"/>
    <x v="28"/>
    <x v="0"/>
    <x v="1"/>
    <x v="2"/>
    <x v="1"/>
  </r>
  <r>
    <x v="44"/>
    <x v="0"/>
    <x v="0"/>
    <x v="6"/>
    <x v="1"/>
    <x v="2"/>
    <x v="3"/>
    <x v="0"/>
    <x v="0"/>
    <x v="0"/>
    <x v="0"/>
    <x v="3"/>
    <x v="0"/>
    <x v="1"/>
    <x v="0"/>
    <x v="1"/>
  </r>
  <r>
    <x v="45"/>
    <x v="0"/>
    <x v="0"/>
    <x v="6"/>
    <x v="0"/>
    <x v="0"/>
    <x v="1"/>
    <x v="0"/>
    <x v="0"/>
    <x v="0"/>
    <x v="0"/>
    <x v="29"/>
    <x v="1"/>
    <x v="1"/>
    <x v="0"/>
    <x v="0"/>
  </r>
  <r>
    <x v="46"/>
    <x v="0"/>
    <x v="0"/>
    <x v="10"/>
    <x v="0"/>
    <x v="1"/>
    <x v="0"/>
    <x v="0"/>
    <x v="1"/>
    <x v="2"/>
    <x v="1"/>
    <x v="30"/>
    <x v="0"/>
    <x v="1"/>
    <x v="1"/>
    <x v="0"/>
  </r>
  <r>
    <x v="47"/>
    <x v="1"/>
    <x v="0"/>
    <x v="0"/>
    <x v="4"/>
    <x v="1"/>
    <x v="0"/>
    <x v="0"/>
    <x v="2"/>
    <x v="2"/>
    <x v="1"/>
    <x v="31"/>
    <x v="0"/>
    <x v="1"/>
    <x v="0"/>
    <x v="0"/>
  </r>
  <r>
    <x v="48"/>
    <x v="0"/>
    <x v="1"/>
    <x v="1"/>
    <x v="4"/>
    <x v="1"/>
    <x v="1"/>
    <x v="1"/>
    <x v="2"/>
    <x v="0"/>
    <x v="0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  <x v="0"/>
    <x v="0"/>
  </r>
  <r>
    <x v="50"/>
    <x v="1"/>
    <x v="0"/>
    <x v="1"/>
    <x v="3"/>
    <x v="1"/>
    <x v="1"/>
    <x v="1"/>
    <x v="1"/>
    <x v="0"/>
    <x v="0"/>
    <x v="26"/>
    <x v="2"/>
    <x v="0"/>
    <x v="0"/>
    <x v="0"/>
  </r>
  <r>
    <x v="51"/>
    <x v="1"/>
    <x v="1"/>
    <x v="2"/>
    <x v="3"/>
    <x v="0"/>
    <x v="2"/>
    <x v="1"/>
    <x v="3"/>
    <x v="4"/>
    <x v="1"/>
    <x v="11"/>
    <x v="2"/>
    <x v="0"/>
    <x v="1"/>
    <x v="0"/>
  </r>
  <r>
    <x v="52"/>
    <x v="0"/>
    <x v="0"/>
    <x v="6"/>
    <x v="0"/>
    <x v="0"/>
    <x v="1"/>
    <x v="0"/>
    <x v="0"/>
    <x v="0"/>
    <x v="0"/>
    <x v="27"/>
    <x v="1"/>
    <x v="0"/>
    <x v="0"/>
    <x v="0"/>
  </r>
  <r>
    <x v="53"/>
    <x v="1"/>
    <x v="0"/>
    <x v="8"/>
    <x v="5"/>
    <x v="2"/>
    <x v="4"/>
    <x v="1"/>
    <x v="4"/>
    <x v="2"/>
    <x v="0"/>
    <x v="16"/>
    <x v="1"/>
    <x v="0"/>
    <x v="1"/>
    <x v="1"/>
  </r>
  <r>
    <x v="54"/>
    <x v="1"/>
    <x v="0"/>
    <x v="3"/>
    <x v="3"/>
    <x v="0"/>
    <x v="2"/>
    <x v="1"/>
    <x v="1"/>
    <x v="2"/>
    <x v="1"/>
    <x v="0"/>
    <x v="0"/>
    <x v="0"/>
    <x v="1"/>
    <x v="0"/>
  </r>
  <r>
    <x v="55"/>
    <x v="0"/>
    <x v="1"/>
    <x v="2"/>
    <x v="5"/>
    <x v="2"/>
    <x v="2"/>
    <x v="0"/>
    <x v="2"/>
    <x v="4"/>
    <x v="0"/>
    <x v="9"/>
    <x v="0"/>
    <x v="0"/>
    <x v="1"/>
    <x v="1"/>
  </r>
  <r>
    <x v="56"/>
    <x v="0"/>
    <x v="1"/>
    <x v="0"/>
    <x v="3"/>
    <x v="0"/>
    <x v="1"/>
    <x v="0"/>
    <x v="0"/>
    <x v="0"/>
    <x v="0"/>
    <x v="13"/>
    <x v="0"/>
    <x v="1"/>
    <x v="0"/>
    <x v="0"/>
  </r>
  <r>
    <x v="57"/>
    <x v="0"/>
    <x v="1"/>
    <x v="12"/>
    <x v="5"/>
    <x v="1"/>
    <x v="2"/>
    <x v="1"/>
    <x v="3"/>
    <x v="2"/>
    <x v="0"/>
    <x v="33"/>
    <x v="1"/>
    <x v="1"/>
    <x v="2"/>
    <x v="1"/>
  </r>
  <r>
    <x v="58"/>
    <x v="0"/>
    <x v="0"/>
    <x v="0"/>
    <x v="0"/>
    <x v="0"/>
    <x v="0"/>
    <x v="0"/>
    <x v="0"/>
    <x v="0"/>
    <x v="0"/>
    <x v="1"/>
    <x v="0"/>
    <x v="1"/>
    <x v="0"/>
    <x v="0"/>
  </r>
  <r>
    <x v="59"/>
    <x v="0"/>
    <x v="1"/>
    <x v="10"/>
    <x v="4"/>
    <x v="0"/>
    <x v="2"/>
    <x v="0"/>
    <x v="1"/>
    <x v="1"/>
    <x v="1"/>
    <x v="13"/>
    <x v="0"/>
    <x v="1"/>
    <x v="1"/>
    <x v="0"/>
  </r>
  <r>
    <x v="60"/>
    <x v="1"/>
    <x v="0"/>
    <x v="4"/>
    <x v="0"/>
    <x v="2"/>
    <x v="3"/>
    <x v="1"/>
    <x v="1"/>
    <x v="3"/>
    <x v="0"/>
    <x v="12"/>
    <x v="0"/>
    <x v="0"/>
    <x v="0"/>
    <x v="0"/>
  </r>
  <r>
    <x v="61"/>
    <x v="1"/>
    <x v="0"/>
    <x v="4"/>
    <x v="4"/>
    <x v="2"/>
    <x v="3"/>
    <x v="0"/>
    <x v="0"/>
    <x v="0"/>
    <x v="0"/>
    <x v="11"/>
    <x v="2"/>
    <x v="0"/>
    <x v="0"/>
    <x v="0"/>
  </r>
  <r>
    <x v="62"/>
    <x v="0"/>
    <x v="1"/>
    <x v="0"/>
    <x v="4"/>
    <x v="0"/>
    <x v="4"/>
    <x v="0"/>
    <x v="1"/>
    <x v="0"/>
    <x v="1"/>
    <x v="31"/>
    <x v="0"/>
    <x v="1"/>
    <x v="0"/>
    <x v="0"/>
  </r>
  <r>
    <x v="63"/>
    <x v="1"/>
    <x v="1"/>
    <x v="10"/>
    <x v="5"/>
    <x v="0"/>
    <x v="2"/>
    <x v="0"/>
    <x v="4"/>
    <x v="4"/>
    <x v="1"/>
    <x v="3"/>
    <x v="0"/>
    <x v="0"/>
    <x v="1"/>
    <x v="1"/>
  </r>
  <r>
    <x v="64"/>
    <x v="0"/>
    <x v="0"/>
    <x v="1"/>
    <x v="0"/>
    <x v="0"/>
    <x v="1"/>
    <x v="0"/>
    <x v="0"/>
    <x v="0"/>
    <x v="0"/>
    <x v="34"/>
    <x v="0"/>
    <x v="1"/>
    <x v="0"/>
    <x v="0"/>
  </r>
  <r>
    <x v="65"/>
    <x v="1"/>
    <x v="1"/>
    <x v="1"/>
    <x v="4"/>
    <x v="1"/>
    <x v="1"/>
    <x v="0"/>
    <x v="2"/>
    <x v="2"/>
    <x v="1"/>
    <x v="35"/>
    <x v="1"/>
    <x v="0"/>
    <x v="0"/>
    <x v="0"/>
  </r>
  <r>
    <x v="66"/>
    <x v="0"/>
    <x v="0"/>
    <x v="0"/>
    <x v="3"/>
    <x v="4"/>
    <x v="1"/>
    <x v="0"/>
    <x v="0"/>
    <x v="0"/>
    <x v="0"/>
    <x v="34"/>
    <x v="0"/>
    <x v="1"/>
    <x v="0"/>
    <x v="0"/>
  </r>
  <r>
    <x v="67"/>
    <x v="1"/>
    <x v="1"/>
    <x v="1"/>
    <x v="3"/>
    <x v="2"/>
    <x v="3"/>
    <x v="0"/>
    <x v="1"/>
    <x v="1"/>
    <x v="0"/>
    <x v="6"/>
    <x v="2"/>
    <x v="1"/>
    <x v="0"/>
    <x v="0"/>
  </r>
  <r>
    <x v="68"/>
    <x v="1"/>
    <x v="0"/>
    <x v="6"/>
    <x v="5"/>
    <x v="2"/>
    <x v="3"/>
    <x v="0"/>
    <x v="1"/>
    <x v="0"/>
    <x v="0"/>
    <x v="1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  <x v="0"/>
    <x v="0"/>
  </r>
  <r>
    <x v="70"/>
    <x v="0"/>
    <x v="1"/>
    <x v="7"/>
    <x v="3"/>
    <x v="3"/>
    <x v="2"/>
    <x v="0"/>
    <x v="3"/>
    <x v="4"/>
    <x v="1"/>
    <x v="4"/>
    <x v="0"/>
    <x v="1"/>
    <x v="2"/>
    <x v="0"/>
  </r>
  <r>
    <x v="71"/>
    <x v="1"/>
    <x v="0"/>
    <x v="4"/>
    <x v="3"/>
    <x v="3"/>
    <x v="3"/>
    <x v="1"/>
    <x v="2"/>
    <x v="0"/>
    <x v="0"/>
    <x v="11"/>
    <x v="2"/>
    <x v="0"/>
    <x v="0"/>
    <x v="0"/>
  </r>
  <r>
    <x v="72"/>
    <x v="0"/>
    <x v="0"/>
    <x v="12"/>
    <x v="1"/>
    <x v="2"/>
    <x v="2"/>
    <x v="0"/>
    <x v="3"/>
    <x v="0"/>
    <x v="0"/>
    <x v="31"/>
    <x v="0"/>
    <x v="0"/>
    <x v="2"/>
    <x v="1"/>
  </r>
  <r>
    <x v="73"/>
    <x v="1"/>
    <x v="0"/>
    <x v="6"/>
    <x v="3"/>
    <x v="1"/>
    <x v="3"/>
    <x v="1"/>
    <x v="1"/>
    <x v="1"/>
    <x v="0"/>
    <x v="4"/>
    <x v="0"/>
    <x v="1"/>
    <x v="0"/>
    <x v="0"/>
  </r>
  <r>
    <x v="74"/>
    <x v="0"/>
    <x v="0"/>
    <x v="6"/>
    <x v="1"/>
    <x v="2"/>
    <x v="0"/>
    <x v="1"/>
    <x v="2"/>
    <x v="3"/>
    <x v="1"/>
    <x v="24"/>
    <x v="1"/>
    <x v="0"/>
    <x v="0"/>
    <x v="1"/>
  </r>
  <r>
    <x v="75"/>
    <x v="1"/>
    <x v="0"/>
    <x v="12"/>
    <x v="5"/>
    <x v="2"/>
    <x v="4"/>
    <x v="0"/>
    <x v="3"/>
    <x v="0"/>
    <x v="1"/>
    <x v="23"/>
    <x v="2"/>
    <x v="0"/>
    <x v="2"/>
    <x v="1"/>
  </r>
  <r>
    <x v="76"/>
    <x v="1"/>
    <x v="0"/>
    <x v="6"/>
    <x v="3"/>
    <x v="3"/>
    <x v="3"/>
    <x v="1"/>
    <x v="2"/>
    <x v="3"/>
    <x v="0"/>
    <x v="22"/>
    <x v="2"/>
    <x v="0"/>
    <x v="0"/>
    <x v="0"/>
  </r>
  <r>
    <x v="77"/>
    <x v="0"/>
    <x v="1"/>
    <x v="2"/>
    <x v="3"/>
    <x v="0"/>
    <x v="2"/>
    <x v="0"/>
    <x v="2"/>
    <x v="4"/>
    <x v="1"/>
    <x v="19"/>
    <x v="2"/>
    <x v="1"/>
    <x v="1"/>
    <x v="0"/>
  </r>
  <r>
    <x v="78"/>
    <x v="0"/>
    <x v="1"/>
    <x v="2"/>
    <x v="4"/>
    <x v="2"/>
    <x v="0"/>
    <x v="1"/>
    <x v="2"/>
    <x v="3"/>
    <x v="1"/>
    <x v="5"/>
    <x v="0"/>
    <x v="1"/>
    <x v="1"/>
    <x v="0"/>
  </r>
  <r>
    <x v="79"/>
    <x v="1"/>
    <x v="1"/>
    <x v="0"/>
    <x v="4"/>
    <x v="0"/>
    <x v="4"/>
    <x v="0"/>
    <x v="2"/>
    <x v="2"/>
    <x v="1"/>
    <x v="18"/>
    <x v="1"/>
    <x v="1"/>
    <x v="0"/>
    <x v="0"/>
  </r>
  <r>
    <x v="80"/>
    <x v="0"/>
    <x v="0"/>
    <x v="1"/>
    <x v="5"/>
    <x v="4"/>
    <x v="1"/>
    <x v="0"/>
    <x v="0"/>
    <x v="0"/>
    <x v="0"/>
    <x v="12"/>
    <x v="0"/>
    <x v="1"/>
    <x v="0"/>
    <x v="1"/>
  </r>
  <r>
    <x v="81"/>
    <x v="1"/>
    <x v="0"/>
    <x v="4"/>
    <x v="5"/>
    <x v="3"/>
    <x v="3"/>
    <x v="0"/>
    <x v="2"/>
    <x v="0"/>
    <x v="0"/>
    <x v="8"/>
    <x v="0"/>
    <x v="0"/>
    <x v="0"/>
    <x v="1"/>
  </r>
  <r>
    <x v="82"/>
    <x v="0"/>
    <x v="1"/>
    <x v="1"/>
    <x v="3"/>
    <x v="0"/>
    <x v="1"/>
    <x v="0"/>
    <x v="0"/>
    <x v="0"/>
    <x v="0"/>
    <x v="15"/>
    <x v="0"/>
    <x v="1"/>
    <x v="0"/>
    <x v="0"/>
  </r>
  <r>
    <x v="83"/>
    <x v="1"/>
    <x v="1"/>
    <x v="6"/>
    <x v="3"/>
    <x v="2"/>
    <x v="3"/>
    <x v="1"/>
    <x v="1"/>
    <x v="1"/>
    <x v="0"/>
    <x v="19"/>
    <x v="2"/>
    <x v="0"/>
    <x v="0"/>
    <x v="0"/>
  </r>
  <r>
    <x v="84"/>
    <x v="1"/>
    <x v="1"/>
    <x v="0"/>
    <x v="4"/>
    <x v="0"/>
    <x v="4"/>
    <x v="1"/>
    <x v="1"/>
    <x v="2"/>
    <x v="1"/>
    <x v="31"/>
    <x v="0"/>
    <x v="1"/>
    <x v="0"/>
    <x v="0"/>
  </r>
  <r>
    <x v="85"/>
    <x v="1"/>
    <x v="1"/>
    <x v="4"/>
    <x v="3"/>
    <x v="1"/>
    <x v="3"/>
    <x v="0"/>
    <x v="1"/>
    <x v="3"/>
    <x v="1"/>
    <x v="22"/>
    <x v="2"/>
    <x v="1"/>
    <x v="0"/>
    <x v="0"/>
  </r>
  <r>
    <x v="86"/>
    <x v="1"/>
    <x v="1"/>
    <x v="12"/>
    <x v="1"/>
    <x v="1"/>
    <x v="2"/>
    <x v="1"/>
    <x v="4"/>
    <x v="0"/>
    <x v="0"/>
    <x v="36"/>
    <x v="0"/>
    <x v="1"/>
    <x v="2"/>
    <x v="1"/>
  </r>
  <r>
    <x v="87"/>
    <x v="0"/>
    <x v="1"/>
    <x v="2"/>
    <x v="2"/>
    <x v="0"/>
    <x v="2"/>
    <x v="0"/>
    <x v="3"/>
    <x v="3"/>
    <x v="1"/>
    <x v="8"/>
    <x v="0"/>
    <x v="0"/>
    <x v="1"/>
    <x v="1"/>
  </r>
  <r>
    <x v="88"/>
    <x v="1"/>
    <x v="1"/>
    <x v="1"/>
    <x v="3"/>
    <x v="1"/>
    <x v="1"/>
    <x v="1"/>
    <x v="1"/>
    <x v="1"/>
    <x v="0"/>
    <x v="19"/>
    <x v="2"/>
    <x v="0"/>
    <x v="0"/>
    <x v="0"/>
  </r>
  <r>
    <x v="89"/>
    <x v="0"/>
    <x v="1"/>
    <x v="6"/>
    <x v="0"/>
    <x v="2"/>
    <x v="3"/>
    <x v="1"/>
    <x v="1"/>
    <x v="3"/>
    <x v="0"/>
    <x v="8"/>
    <x v="0"/>
    <x v="1"/>
    <x v="0"/>
    <x v="0"/>
  </r>
  <r>
    <x v="90"/>
    <x v="1"/>
    <x v="0"/>
    <x v="1"/>
    <x v="3"/>
    <x v="1"/>
    <x v="1"/>
    <x v="1"/>
    <x v="1"/>
    <x v="0"/>
    <x v="0"/>
    <x v="19"/>
    <x v="2"/>
    <x v="1"/>
    <x v="0"/>
    <x v="0"/>
  </r>
  <r>
    <x v="91"/>
    <x v="1"/>
    <x v="1"/>
    <x v="1"/>
    <x v="3"/>
    <x v="1"/>
    <x v="1"/>
    <x v="1"/>
    <x v="1"/>
    <x v="0"/>
    <x v="0"/>
    <x v="25"/>
    <x v="2"/>
    <x v="1"/>
    <x v="0"/>
    <x v="0"/>
  </r>
  <r>
    <x v="92"/>
    <x v="1"/>
    <x v="0"/>
    <x v="10"/>
    <x v="4"/>
    <x v="0"/>
    <x v="2"/>
    <x v="0"/>
    <x v="1"/>
    <x v="1"/>
    <x v="1"/>
    <x v="34"/>
    <x v="0"/>
    <x v="1"/>
    <x v="1"/>
    <x v="0"/>
  </r>
  <r>
    <x v="93"/>
    <x v="1"/>
    <x v="0"/>
    <x v="1"/>
    <x v="3"/>
    <x v="1"/>
    <x v="1"/>
    <x v="1"/>
    <x v="1"/>
    <x v="1"/>
    <x v="0"/>
    <x v="6"/>
    <x v="2"/>
    <x v="0"/>
    <x v="0"/>
    <x v="0"/>
  </r>
  <r>
    <x v="94"/>
    <x v="1"/>
    <x v="0"/>
    <x v="1"/>
    <x v="1"/>
    <x v="2"/>
    <x v="0"/>
    <x v="0"/>
    <x v="2"/>
    <x v="2"/>
    <x v="1"/>
    <x v="10"/>
    <x v="0"/>
    <x v="0"/>
    <x v="0"/>
    <x v="1"/>
  </r>
  <r>
    <x v="95"/>
    <x v="1"/>
    <x v="0"/>
    <x v="8"/>
    <x v="2"/>
    <x v="1"/>
    <x v="2"/>
    <x v="0"/>
    <x v="2"/>
    <x v="4"/>
    <x v="0"/>
    <x v="24"/>
    <x v="1"/>
    <x v="0"/>
    <x v="1"/>
    <x v="1"/>
  </r>
  <r>
    <x v="96"/>
    <x v="0"/>
    <x v="1"/>
    <x v="1"/>
    <x v="0"/>
    <x v="1"/>
    <x v="1"/>
    <x v="0"/>
    <x v="1"/>
    <x v="0"/>
    <x v="0"/>
    <x v="1"/>
    <x v="0"/>
    <x v="0"/>
    <x v="0"/>
    <x v="0"/>
  </r>
  <r>
    <x v="97"/>
    <x v="0"/>
    <x v="1"/>
    <x v="0"/>
    <x v="0"/>
    <x v="0"/>
    <x v="0"/>
    <x v="0"/>
    <x v="1"/>
    <x v="0"/>
    <x v="0"/>
    <x v="20"/>
    <x v="0"/>
    <x v="1"/>
    <x v="0"/>
    <x v="0"/>
  </r>
  <r>
    <x v="98"/>
    <x v="0"/>
    <x v="1"/>
    <x v="0"/>
    <x v="3"/>
    <x v="4"/>
    <x v="1"/>
    <x v="0"/>
    <x v="0"/>
    <x v="0"/>
    <x v="0"/>
    <x v="37"/>
    <x v="2"/>
    <x v="1"/>
    <x v="0"/>
    <x v="0"/>
  </r>
  <r>
    <x v="99"/>
    <x v="0"/>
    <x v="0"/>
    <x v="6"/>
    <x v="1"/>
    <x v="2"/>
    <x v="3"/>
    <x v="0"/>
    <x v="2"/>
    <x v="0"/>
    <x v="0"/>
    <x v="1"/>
    <x v="0"/>
    <x v="0"/>
    <x v="0"/>
    <x v="1"/>
  </r>
  <r>
    <x v="100"/>
    <x v="1"/>
    <x v="1"/>
    <x v="4"/>
    <x v="4"/>
    <x v="2"/>
    <x v="3"/>
    <x v="0"/>
    <x v="0"/>
    <x v="0"/>
    <x v="0"/>
    <x v="11"/>
    <x v="2"/>
    <x v="0"/>
    <x v="0"/>
    <x v="0"/>
  </r>
  <r>
    <x v="101"/>
    <x v="1"/>
    <x v="1"/>
    <x v="10"/>
    <x v="1"/>
    <x v="0"/>
    <x v="2"/>
    <x v="1"/>
    <x v="2"/>
    <x v="0"/>
    <x v="1"/>
    <x v="1"/>
    <x v="0"/>
    <x v="1"/>
    <x v="1"/>
    <x v="1"/>
  </r>
  <r>
    <x v="102"/>
    <x v="0"/>
    <x v="1"/>
    <x v="4"/>
    <x v="4"/>
    <x v="1"/>
    <x v="3"/>
    <x v="0"/>
    <x v="0"/>
    <x v="3"/>
    <x v="0"/>
    <x v="38"/>
    <x v="0"/>
    <x v="0"/>
    <x v="0"/>
    <x v="0"/>
  </r>
  <r>
    <x v="103"/>
    <x v="1"/>
    <x v="1"/>
    <x v="10"/>
    <x v="0"/>
    <x v="1"/>
    <x v="0"/>
    <x v="0"/>
    <x v="1"/>
    <x v="2"/>
    <x v="1"/>
    <x v="12"/>
    <x v="0"/>
    <x v="0"/>
    <x v="1"/>
    <x v="0"/>
  </r>
  <r>
    <x v="104"/>
    <x v="1"/>
    <x v="0"/>
    <x v="3"/>
    <x v="4"/>
    <x v="2"/>
    <x v="2"/>
    <x v="0"/>
    <x v="2"/>
    <x v="2"/>
    <x v="1"/>
    <x v="38"/>
    <x v="0"/>
    <x v="1"/>
    <x v="1"/>
    <x v="0"/>
  </r>
  <r>
    <x v="105"/>
    <x v="1"/>
    <x v="0"/>
    <x v="1"/>
    <x v="3"/>
    <x v="1"/>
    <x v="1"/>
    <x v="1"/>
    <x v="1"/>
    <x v="1"/>
    <x v="0"/>
    <x v="25"/>
    <x v="2"/>
    <x v="0"/>
    <x v="0"/>
    <x v="0"/>
  </r>
  <r>
    <x v="106"/>
    <x v="0"/>
    <x v="1"/>
    <x v="3"/>
    <x v="4"/>
    <x v="1"/>
    <x v="0"/>
    <x v="0"/>
    <x v="2"/>
    <x v="2"/>
    <x v="1"/>
    <x v="31"/>
    <x v="0"/>
    <x v="1"/>
    <x v="1"/>
    <x v="0"/>
  </r>
  <r>
    <x v="107"/>
    <x v="1"/>
    <x v="0"/>
    <x v="0"/>
    <x v="4"/>
    <x v="1"/>
    <x v="0"/>
    <x v="1"/>
    <x v="2"/>
    <x v="3"/>
    <x v="1"/>
    <x v="39"/>
    <x v="0"/>
    <x v="1"/>
    <x v="0"/>
    <x v="0"/>
  </r>
  <r>
    <x v="108"/>
    <x v="0"/>
    <x v="0"/>
    <x v="0"/>
    <x v="3"/>
    <x v="0"/>
    <x v="1"/>
    <x v="0"/>
    <x v="0"/>
    <x v="0"/>
    <x v="0"/>
    <x v="13"/>
    <x v="0"/>
    <x v="1"/>
    <x v="0"/>
    <x v="0"/>
  </r>
  <r>
    <x v="109"/>
    <x v="1"/>
    <x v="1"/>
    <x v="0"/>
    <x v="3"/>
    <x v="0"/>
    <x v="2"/>
    <x v="1"/>
    <x v="0"/>
    <x v="0"/>
    <x v="0"/>
    <x v="32"/>
    <x v="0"/>
    <x v="1"/>
    <x v="0"/>
    <x v="0"/>
  </r>
  <r>
    <x v="110"/>
    <x v="1"/>
    <x v="0"/>
    <x v="1"/>
    <x v="0"/>
    <x v="1"/>
    <x v="3"/>
    <x v="1"/>
    <x v="0"/>
    <x v="0"/>
    <x v="0"/>
    <x v="30"/>
    <x v="0"/>
    <x v="1"/>
    <x v="0"/>
    <x v="0"/>
  </r>
  <r>
    <x v="111"/>
    <x v="1"/>
    <x v="0"/>
    <x v="3"/>
    <x v="3"/>
    <x v="0"/>
    <x v="2"/>
    <x v="1"/>
    <x v="1"/>
    <x v="2"/>
    <x v="1"/>
    <x v="13"/>
    <x v="0"/>
    <x v="0"/>
    <x v="1"/>
    <x v="0"/>
  </r>
  <r>
    <x v="112"/>
    <x v="1"/>
    <x v="0"/>
    <x v="0"/>
    <x v="4"/>
    <x v="1"/>
    <x v="1"/>
    <x v="0"/>
    <x v="2"/>
    <x v="3"/>
    <x v="0"/>
    <x v="11"/>
    <x v="2"/>
    <x v="0"/>
    <x v="0"/>
    <x v="0"/>
  </r>
  <r>
    <x v="113"/>
    <x v="1"/>
    <x v="0"/>
    <x v="12"/>
    <x v="0"/>
    <x v="4"/>
    <x v="4"/>
    <x v="1"/>
    <x v="1"/>
    <x v="0"/>
    <x v="1"/>
    <x v="4"/>
    <x v="0"/>
    <x v="1"/>
    <x v="2"/>
    <x v="0"/>
  </r>
  <r>
    <x v="114"/>
    <x v="0"/>
    <x v="1"/>
    <x v="6"/>
    <x v="3"/>
    <x v="0"/>
    <x v="1"/>
    <x v="0"/>
    <x v="0"/>
    <x v="0"/>
    <x v="1"/>
    <x v="22"/>
    <x v="2"/>
    <x v="1"/>
    <x v="0"/>
    <x v="0"/>
  </r>
  <r>
    <x v="115"/>
    <x v="1"/>
    <x v="1"/>
    <x v="4"/>
    <x v="3"/>
    <x v="4"/>
    <x v="3"/>
    <x v="1"/>
    <x v="0"/>
    <x v="0"/>
    <x v="0"/>
    <x v="25"/>
    <x v="2"/>
    <x v="1"/>
    <x v="0"/>
    <x v="0"/>
  </r>
  <r>
    <x v="116"/>
    <x v="0"/>
    <x v="0"/>
    <x v="1"/>
    <x v="0"/>
    <x v="0"/>
    <x v="0"/>
    <x v="0"/>
    <x v="2"/>
    <x v="0"/>
    <x v="0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  <x v="0"/>
    <x v="0"/>
  </r>
  <r>
    <x v="118"/>
    <x v="0"/>
    <x v="1"/>
    <x v="2"/>
    <x v="2"/>
    <x v="0"/>
    <x v="4"/>
    <x v="0"/>
    <x v="2"/>
    <x v="1"/>
    <x v="0"/>
    <x v="24"/>
    <x v="1"/>
    <x v="0"/>
    <x v="1"/>
    <x v="1"/>
  </r>
  <r>
    <x v="119"/>
    <x v="1"/>
    <x v="0"/>
    <x v="1"/>
    <x v="3"/>
    <x v="1"/>
    <x v="1"/>
    <x v="1"/>
    <x v="1"/>
    <x v="1"/>
    <x v="0"/>
    <x v="19"/>
    <x v="2"/>
    <x v="0"/>
    <x v="0"/>
    <x v="0"/>
  </r>
  <r>
    <x v="120"/>
    <x v="0"/>
    <x v="0"/>
    <x v="0"/>
    <x v="4"/>
    <x v="0"/>
    <x v="4"/>
    <x v="0"/>
    <x v="2"/>
    <x v="2"/>
    <x v="1"/>
    <x v="29"/>
    <x v="1"/>
    <x v="1"/>
    <x v="0"/>
    <x v="0"/>
  </r>
  <r>
    <x v="121"/>
    <x v="0"/>
    <x v="1"/>
    <x v="13"/>
    <x v="4"/>
    <x v="2"/>
    <x v="2"/>
    <x v="0"/>
    <x v="3"/>
    <x v="0"/>
    <x v="0"/>
    <x v="28"/>
    <x v="0"/>
    <x v="0"/>
    <x v="2"/>
    <x v="0"/>
  </r>
  <r>
    <x v="122"/>
    <x v="1"/>
    <x v="0"/>
    <x v="2"/>
    <x v="3"/>
    <x v="0"/>
    <x v="2"/>
    <x v="1"/>
    <x v="4"/>
    <x v="4"/>
    <x v="1"/>
    <x v="23"/>
    <x v="2"/>
    <x v="0"/>
    <x v="1"/>
    <x v="0"/>
  </r>
  <r>
    <x v="123"/>
    <x v="1"/>
    <x v="0"/>
    <x v="11"/>
    <x v="1"/>
    <x v="1"/>
    <x v="4"/>
    <x v="1"/>
    <x v="3"/>
    <x v="2"/>
    <x v="0"/>
    <x v="16"/>
    <x v="1"/>
    <x v="0"/>
    <x v="1"/>
    <x v="1"/>
  </r>
  <r>
    <x v="124"/>
    <x v="1"/>
    <x v="0"/>
    <x v="0"/>
    <x v="3"/>
    <x v="0"/>
    <x v="1"/>
    <x v="1"/>
    <x v="0"/>
    <x v="0"/>
    <x v="0"/>
    <x v="13"/>
    <x v="0"/>
    <x v="1"/>
    <x v="0"/>
    <x v="0"/>
  </r>
  <r>
    <x v="125"/>
    <x v="0"/>
    <x v="1"/>
    <x v="2"/>
    <x v="2"/>
    <x v="0"/>
    <x v="2"/>
    <x v="0"/>
    <x v="3"/>
    <x v="3"/>
    <x v="1"/>
    <x v="8"/>
    <x v="0"/>
    <x v="0"/>
    <x v="1"/>
    <x v="1"/>
  </r>
  <r>
    <x v="126"/>
    <x v="1"/>
    <x v="1"/>
    <x v="1"/>
    <x v="3"/>
    <x v="1"/>
    <x v="1"/>
    <x v="0"/>
    <x v="1"/>
    <x v="1"/>
    <x v="0"/>
    <x v="21"/>
    <x v="2"/>
    <x v="0"/>
    <x v="0"/>
    <x v="0"/>
  </r>
  <r>
    <x v="127"/>
    <x v="0"/>
    <x v="1"/>
    <x v="1"/>
    <x v="0"/>
    <x v="0"/>
    <x v="1"/>
    <x v="0"/>
    <x v="1"/>
    <x v="1"/>
    <x v="0"/>
    <x v="32"/>
    <x v="0"/>
    <x v="0"/>
    <x v="0"/>
    <x v="0"/>
  </r>
  <r>
    <x v="128"/>
    <x v="1"/>
    <x v="1"/>
    <x v="4"/>
    <x v="4"/>
    <x v="1"/>
    <x v="3"/>
    <x v="0"/>
    <x v="1"/>
    <x v="0"/>
    <x v="0"/>
    <x v="31"/>
    <x v="0"/>
    <x v="1"/>
    <x v="0"/>
    <x v="0"/>
  </r>
  <r>
    <x v="129"/>
    <x v="1"/>
    <x v="1"/>
    <x v="4"/>
    <x v="1"/>
    <x v="2"/>
    <x v="3"/>
    <x v="0"/>
    <x v="1"/>
    <x v="0"/>
    <x v="0"/>
    <x v="32"/>
    <x v="0"/>
    <x v="1"/>
    <x v="0"/>
    <x v="1"/>
  </r>
  <r>
    <x v="130"/>
    <x v="0"/>
    <x v="1"/>
    <x v="10"/>
    <x v="4"/>
    <x v="0"/>
    <x v="2"/>
    <x v="0"/>
    <x v="1"/>
    <x v="1"/>
    <x v="1"/>
    <x v="34"/>
    <x v="0"/>
    <x v="0"/>
    <x v="1"/>
    <x v="0"/>
  </r>
  <r>
    <x v="131"/>
    <x v="0"/>
    <x v="1"/>
    <x v="8"/>
    <x v="5"/>
    <x v="2"/>
    <x v="4"/>
    <x v="0"/>
    <x v="4"/>
    <x v="2"/>
    <x v="0"/>
    <x v="16"/>
    <x v="1"/>
    <x v="1"/>
    <x v="1"/>
    <x v="1"/>
  </r>
  <r>
    <x v="132"/>
    <x v="0"/>
    <x v="1"/>
    <x v="0"/>
    <x v="3"/>
    <x v="0"/>
    <x v="2"/>
    <x v="0"/>
    <x v="0"/>
    <x v="0"/>
    <x v="0"/>
    <x v="8"/>
    <x v="0"/>
    <x v="1"/>
    <x v="0"/>
    <x v="0"/>
  </r>
  <r>
    <x v="133"/>
    <x v="1"/>
    <x v="1"/>
    <x v="0"/>
    <x v="4"/>
    <x v="0"/>
    <x v="4"/>
    <x v="0"/>
    <x v="2"/>
    <x v="2"/>
    <x v="1"/>
    <x v="27"/>
    <x v="1"/>
    <x v="1"/>
    <x v="0"/>
    <x v="0"/>
  </r>
  <r>
    <x v="134"/>
    <x v="1"/>
    <x v="0"/>
    <x v="1"/>
    <x v="4"/>
    <x v="1"/>
    <x v="1"/>
    <x v="0"/>
    <x v="2"/>
    <x v="0"/>
    <x v="0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  <x v="0"/>
    <x v="0"/>
  </r>
  <r>
    <x v="136"/>
    <x v="1"/>
    <x v="0"/>
    <x v="4"/>
    <x v="0"/>
    <x v="2"/>
    <x v="3"/>
    <x v="1"/>
    <x v="1"/>
    <x v="2"/>
    <x v="0"/>
    <x v="11"/>
    <x v="2"/>
    <x v="1"/>
    <x v="0"/>
    <x v="0"/>
  </r>
  <r>
    <x v="137"/>
    <x v="1"/>
    <x v="1"/>
    <x v="6"/>
    <x v="4"/>
    <x v="2"/>
    <x v="3"/>
    <x v="0"/>
    <x v="2"/>
    <x v="0"/>
    <x v="0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0"/>
    <x v="1"/>
    <x v="0"/>
    <x v="0"/>
  </r>
  <r>
    <x v="139"/>
    <x v="1"/>
    <x v="0"/>
    <x v="1"/>
    <x v="4"/>
    <x v="1"/>
    <x v="1"/>
    <x v="1"/>
    <x v="2"/>
    <x v="2"/>
    <x v="1"/>
    <x v="2"/>
    <x v="1"/>
    <x v="1"/>
    <x v="0"/>
    <x v="0"/>
  </r>
  <r>
    <x v="140"/>
    <x v="1"/>
    <x v="1"/>
    <x v="0"/>
    <x v="3"/>
    <x v="0"/>
    <x v="2"/>
    <x v="1"/>
    <x v="0"/>
    <x v="0"/>
    <x v="0"/>
    <x v="8"/>
    <x v="0"/>
    <x v="1"/>
    <x v="0"/>
    <x v="0"/>
  </r>
  <r>
    <x v="141"/>
    <x v="1"/>
    <x v="0"/>
    <x v="4"/>
    <x v="3"/>
    <x v="1"/>
    <x v="3"/>
    <x v="1"/>
    <x v="1"/>
    <x v="0"/>
    <x v="1"/>
    <x v="22"/>
    <x v="2"/>
    <x v="1"/>
    <x v="0"/>
    <x v="0"/>
  </r>
  <r>
    <x v="142"/>
    <x v="0"/>
    <x v="1"/>
    <x v="0"/>
    <x v="0"/>
    <x v="0"/>
    <x v="0"/>
    <x v="0"/>
    <x v="0"/>
    <x v="0"/>
    <x v="0"/>
    <x v="0"/>
    <x v="0"/>
    <x v="1"/>
    <x v="0"/>
    <x v="0"/>
  </r>
  <r>
    <x v="143"/>
    <x v="0"/>
    <x v="0"/>
    <x v="2"/>
    <x v="3"/>
    <x v="0"/>
    <x v="2"/>
    <x v="0"/>
    <x v="4"/>
    <x v="4"/>
    <x v="1"/>
    <x v="21"/>
    <x v="2"/>
    <x v="0"/>
    <x v="1"/>
    <x v="0"/>
  </r>
  <r>
    <x v="144"/>
    <x v="1"/>
    <x v="1"/>
    <x v="1"/>
    <x v="0"/>
    <x v="0"/>
    <x v="1"/>
    <x v="0"/>
    <x v="0"/>
    <x v="3"/>
    <x v="0"/>
    <x v="34"/>
    <x v="0"/>
    <x v="1"/>
    <x v="0"/>
    <x v="0"/>
  </r>
  <r>
    <x v="145"/>
    <x v="0"/>
    <x v="0"/>
    <x v="0"/>
    <x v="4"/>
    <x v="1"/>
    <x v="1"/>
    <x v="1"/>
    <x v="1"/>
    <x v="0"/>
    <x v="0"/>
    <x v="17"/>
    <x v="2"/>
    <x v="0"/>
    <x v="0"/>
    <x v="0"/>
  </r>
  <r>
    <x v="146"/>
    <x v="0"/>
    <x v="1"/>
    <x v="0"/>
    <x v="3"/>
    <x v="4"/>
    <x v="1"/>
    <x v="0"/>
    <x v="0"/>
    <x v="0"/>
    <x v="0"/>
    <x v="34"/>
    <x v="0"/>
    <x v="1"/>
    <x v="0"/>
    <x v="0"/>
  </r>
  <r>
    <x v="147"/>
    <x v="0"/>
    <x v="0"/>
    <x v="0"/>
    <x v="3"/>
    <x v="0"/>
    <x v="2"/>
    <x v="1"/>
    <x v="0"/>
    <x v="0"/>
    <x v="0"/>
    <x v="8"/>
    <x v="0"/>
    <x v="1"/>
    <x v="0"/>
    <x v="0"/>
  </r>
  <r>
    <x v="148"/>
    <x v="0"/>
    <x v="1"/>
    <x v="6"/>
    <x v="5"/>
    <x v="2"/>
    <x v="0"/>
    <x v="0"/>
    <x v="2"/>
    <x v="2"/>
    <x v="1"/>
    <x v="2"/>
    <x v="1"/>
    <x v="0"/>
    <x v="0"/>
    <x v="1"/>
  </r>
  <r>
    <x v="149"/>
    <x v="1"/>
    <x v="1"/>
    <x v="1"/>
    <x v="3"/>
    <x v="1"/>
    <x v="1"/>
    <x v="1"/>
    <x v="1"/>
    <x v="3"/>
    <x v="0"/>
    <x v="40"/>
    <x v="2"/>
    <x v="0"/>
    <x v="0"/>
    <x v="0"/>
  </r>
  <r>
    <x v="150"/>
    <x v="0"/>
    <x v="1"/>
    <x v="10"/>
    <x v="0"/>
    <x v="1"/>
    <x v="0"/>
    <x v="0"/>
    <x v="1"/>
    <x v="2"/>
    <x v="1"/>
    <x v="1"/>
    <x v="0"/>
    <x v="1"/>
    <x v="1"/>
    <x v="0"/>
  </r>
  <r>
    <x v="151"/>
    <x v="1"/>
    <x v="1"/>
    <x v="11"/>
    <x v="0"/>
    <x v="0"/>
    <x v="4"/>
    <x v="1"/>
    <x v="4"/>
    <x v="0"/>
    <x v="1"/>
    <x v="28"/>
    <x v="0"/>
    <x v="0"/>
    <x v="1"/>
    <x v="0"/>
  </r>
  <r>
    <x v="152"/>
    <x v="1"/>
    <x v="0"/>
    <x v="6"/>
    <x v="3"/>
    <x v="3"/>
    <x v="3"/>
    <x v="1"/>
    <x v="2"/>
    <x v="3"/>
    <x v="0"/>
    <x v="21"/>
    <x v="2"/>
    <x v="0"/>
    <x v="0"/>
    <x v="0"/>
  </r>
  <r>
    <x v="153"/>
    <x v="0"/>
    <x v="1"/>
    <x v="11"/>
    <x v="0"/>
    <x v="0"/>
    <x v="4"/>
    <x v="0"/>
    <x v="4"/>
    <x v="1"/>
    <x v="1"/>
    <x v="15"/>
    <x v="0"/>
    <x v="0"/>
    <x v="1"/>
    <x v="0"/>
  </r>
  <r>
    <x v="154"/>
    <x v="1"/>
    <x v="1"/>
    <x v="2"/>
    <x v="2"/>
    <x v="4"/>
    <x v="4"/>
    <x v="0"/>
    <x v="4"/>
    <x v="0"/>
    <x v="1"/>
    <x v="8"/>
    <x v="0"/>
    <x v="0"/>
    <x v="1"/>
    <x v="1"/>
  </r>
  <r>
    <x v="155"/>
    <x v="1"/>
    <x v="0"/>
    <x v="4"/>
    <x v="5"/>
    <x v="3"/>
    <x v="3"/>
    <x v="0"/>
    <x v="2"/>
    <x v="0"/>
    <x v="0"/>
    <x v="3"/>
    <x v="0"/>
    <x v="1"/>
    <x v="0"/>
    <x v="1"/>
  </r>
  <r>
    <x v="156"/>
    <x v="0"/>
    <x v="0"/>
    <x v="12"/>
    <x v="2"/>
    <x v="1"/>
    <x v="2"/>
    <x v="0"/>
    <x v="3"/>
    <x v="0"/>
    <x v="0"/>
    <x v="14"/>
    <x v="1"/>
    <x v="0"/>
    <x v="2"/>
    <x v="1"/>
  </r>
  <r>
    <x v="157"/>
    <x v="1"/>
    <x v="1"/>
    <x v="4"/>
    <x v="4"/>
    <x v="1"/>
    <x v="3"/>
    <x v="1"/>
    <x v="0"/>
    <x v="0"/>
    <x v="0"/>
    <x v="5"/>
    <x v="0"/>
    <x v="0"/>
    <x v="0"/>
    <x v="0"/>
  </r>
  <r>
    <x v="158"/>
    <x v="1"/>
    <x v="0"/>
    <x v="6"/>
    <x v="4"/>
    <x v="1"/>
    <x v="3"/>
    <x v="1"/>
    <x v="1"/>
    <x v="0"/>
    <x v="0"/>
    <x v="9"/>
    <x v="0"/>
    <x v="1"/>
    <x v="0"/>
    <x v="0"/>
  </r>
  <r>
    <x v="159"/>
    <x v="0"/>
    <x v="0"/>
    <x v="4"/>
    <x v="0"/>
    <x v="0"/>
    <x v="3"/>
    <x v="0"/>
    <x v="0"/>
    <x v="0"/>
    <x v="0"/>
    <x v="28"/>
    <x v="0"/>
    <x v="0"/>
    <x v="0"/>
    <x v="0"/>
  </r>
  <r>
    <x v="160"/>
    <x v="1"/>
    <x v="0"/>
    <x v="10"/>
    <x v="0"/>
    <x v="0"/>
    <x v="2"/>
    <x v="0"/>
    <x v="1"/>
    <x v="2"/>
    <x v="1"/>
    <x v="20"/>
    <x v="0"/>
    <x v="1"/>
    <x v="1"/>
    <x v="0"/>
  </r>
  <r>
    <x v="161"/>
    <x v="0"/>
    <x v="0"/>
    <x v="6"/>
    <x v="4"/>
    <x v="2"/>
    <x v="3"/>
    <x v="0"/>
    <x v="0"/>
    <x v="0"/>
    <x v="0"/>
    <x v="8"/>
    <x v="0"/>
    <x v="1"/>
    <x v="0"/>
    <x v="0"/>
  </r>
  <r>
    <x v="162"/>
    <x v="1"/>
    <x v="0"/>
    <x v="10"/>
    <x v="4"/>
    <x v="0"/>
    <x v="2"/>
    <x v="1"/>
    <x v="1"/>
    <x v="0"/>
    <x v="1"/>
    <x v="13"/>
    <x v="0"/>
    <x v="1"/>
    <x v="1"/>
    <x v="0"/>
  </r>
  <r>
    <x v="163"/>
    <x v="1"/>
    <x v="1"/>
    <x v="0"/>
    <x v="4"/>
    <x v="1"/>
    <x v="0"/>
    <x v="1"/>
    <x v="2"/>
    <x v="3"/>
    <x v="1"/>
    <x v="31"/>
    <x v="0"/>
    <x v="0"/>
    <x v="0"/>
    <x v="0"/>
  </r>
  <r>
    <x v="164"/>
    <x v="0"/>
    <x v="1"/>
    <x v="4"/>
    <x v="3"/>
    <x v="1"/>
    <x v="3"/>
    <x v="0"/>
    <x v="1"/>
    <x v="1"/>
    <x v="1"/>
    <x v="37"/>
    <x v="2"/>
    <x v="1"/>
    <x v="0"/>
    <x v="0"/>
  </r>
  <r>
    <x v="165"/>
    <x v="0"/>
    <x v="0"/>
    <x v="4"/>
    <x v="3"/>
    <x v="1"/>
    <x v="3"/>
    <x v="1"/>
    <x v="1"/>
    <x v="0"/>
    <x v="1"/>
    <x v="37"/>
    <x v="2"/>
    <x v="0"/>
    <x v="0"/>
    <x v="0"/>
  </r>
  <r>
    <x v="166"/>
    <x v="1"/>
    <x v="1"/>
    <x v="8"/>
    <x v="0"/>
    <x v="0"/>
    <x v="2"/>
    <x v="0"/>
    <x v="1"/>
    <x v="1"/>
    <x v="1"/>
    <x v="15"/>
    <x v="0"/>
    <x v="1"/>
    <x v="1"/>
    <x v="0"/>
  </r>
  <r>
    <x v="167"/>
    <x v="1"/>
    <x v="1"/>
    <x v="11"/>
    <x v="3"/>
    <x v="2"/>
    <x v="4"/>
    <x v="0"/>
    <x v="4"/>
    <x v="4"/>
    <x v="1"/>
    <x v="11"/>
    <x v="2"/>
    <x v="0"/>
    <x v="1"/>
    <x v="0"/>
  </r>
  <r>
    <x v="168"/>
    <x v="1"/>
    <x v="1"/>
    <x v="3"/>
    <x v="3"/>
    <x v="0"/>
    <x v="2"/>
    <x v="1"/>
    <x v="1"/>
    <x v="2"/>
    <x v="1"/>
    <x v="3"/>
    <x v="0"/>
    <x v="1"/>
    <x v="1"/>
    <x v="0"/>
  </r>
  <r>
    <x v="169"/>
    <x v="0"/>
    <x v="1"/>
    <x v="1"/>
    <x v="0"/>
    <x v="0"/>
    <x v="1"/>
    <x v="0"/>
    <x v="0"/>
    <x v="0"/>
    <x v="0"/>
    <x v="15"/>
    <x v="0"/>
    <x v="0"/>
    <x v="0"/>
    <x v="0"/>
  </r>
  <r>
    <x v="170"/>
    <x v="0"/>
    <x v="0"/>
    <x v="12"/>
    <x v="5"/>
    <x v="1"/>
    <x v="2"/>
    <x v="0"/>
    <x v="3"/>
    <x v="2"/>
    <x v="0"/>
    <x v="33"/>
    <x v="1"/>
    <x v="1"/>
    <x v="2"/>
    <x v="1"/>
  </r>
  <r>
    <x v="171"/>
    <x v="0"/>
    <x v="0"/>
    <x v="2"/>
    <x v="2"/>
    <x v="0"/>
    <x v="4"/>
    <x v="0"/>
    <x v="2"/>
    <x v="1"/>
    <x v="0"/>
    <x v="33"/>
    <x v="1"/>
    <x v="0"/>
    <x v="1"/>
    <x v="1"/>
  </r>
  <r>
    <x v="172"/>
    <x v="0"/>
    <x v="1"/>
    <x v="4"/>
    <x v="3"/>
    <x v="3"/>
    <x v="3"/>
    <x v="1"/>
    <x v="2"/>
    <x v="0"/>
    <x v="0"/>
    <x v="6"/>
    <x v="2"/>
    <x v="0"/>
    <x v="0"/>
    <x v="0"/>
  </r>
  <r>
    <x v="173"/>
    <x v="0"/>
    <x v="0"/>
    <x v="4"/>
    <x v="3"/>
    <x v="1"/>
    <x v="3"/>
    <x v="0"/>
    <x v="1"/>
    <x v="1"/>
    <x v="1"/>
    <x v="40"/>
    <x v="2"/>
    <x v="0"/>
    <x v="0"/>
    <x v="0"/>
  </r>
  <r>
    <x v="174"/>
    <x v="1"/>
    <x v="1"/>
    <x v="14"/>
    <x v="3"/>
    <x v="4"/>
    <x v="0"/>
    <x v="0"/>
    <x v="0"/>
    <x v="0"/>
    <x v="0"/>
    <x v="34"/>
    <x v="0"/>
    <x v="1"/>
    <x v="0"/>
    <x v="0"/>
  </r>
  <r>
    <x v="175"/>
    <x v="1"/>
    <x v="0"/>
    <x v="2"/>
    <x v="4"/>
    <x v="1"/>
    <x v="0"/>
    <x v="0"/>
    <x v="2"/>
    <x v="2"/>
    <x v="1"/>
    <x v="31"/>
    <x v="0"/>
    <x v="1"/>
    <x v="1"/>
    <x v="0"/>
  </r>
  <r>
    <x v="176"/>
    <x v="1"/>
    <x v="0"/>
    <x v="6"/>
    <x v="3"/>
    <x v="1"/>
    <x v="3"/>
    <x v="0"/>
    <x v="0"/>
    <x v="0"/>
    <x v="1"/>
    <x v="19"/>
    <x v="2"/>
    <x v="1"/>
    <x v="0"/>
    <x v="0"/>
  </r>
  <r>
    <x v="177"/>
    <x v="1"/>
    <x v="0"/>
    <x v="15"/>
    <x v="4"/>
    <x v="1"/>
    <x v="2"/>
    <x v="1"/>
    <x v="4"/>
    <x v="2"/>
    <x v="0"/>
    <x v="28"/>
    <x v="0"/>
    <x v="0"/>
    <x v="2"/>
    <x v="0"/>
  </r>
  <r>
    <x v="178"/>
    <x v="0"/>
    <x v="1"/>
    <x v="5"/>
    <x v="5"/>
    <x v="1"/>
    <x v="2"/>
    <x v="1"/>
    <x v="2"/>
    <x v="4"/>
    <x v="0"/>
    <x v="10"/>
    <x v="0"/>
    <x v="1"/>
    <x v="2"/>
    <x v="1"/>
  </r>
  <r>
    <x v="179"/>
    <x v="0"/>
    <x v="0"/>
    <x v="4"/>
    <x v="3"/>
    <x v="4"/>
    <x v="3"/>
    <x v="0"/>
    <x v="0"/>
    <x v="0"/>
    <x v="0"/>
    <x v="34"/>
    <x v="0"/>
    <x v="1"/>
    <x v="0"/>
    <x v="0"/>
  </r>
  <r>
    <x v="180"/>
    <x v="1"/>
    <x v="1"/>
    <x v="4"/>
    <x v="0"/>
    <x v="4"/>
    <x v="3"/>
    <x v="0"/>
    <x v="0"/>
    <x v="0"/>
    <x v="0"/>
    <x v="20"/>
    <x v="0"/>
    <x v="0"/>
    <x v="0"/>
    <x v="0"/>
  </r>
  <r>
    <x v="181"/>
    <x v="0"/>
    <x v="0"/>
    <x v="1"/>
    <x v="1"/>
    <x v="1"/>
    <x v="1"/>
    <x v="1"/>
    <x v="2"/>
    <x v="3"/>
    <x v="1"/>
    <x v="10"/>
    <x v="0"/>
    <x v="1"/>
    <x v="0"/>
    <x v="1"/>
  </r>
  <r>
    <x v="182"/>
    <x v="0"/>
    <x v="0"/>
    <x v="4"/>
    <x v="4"/>
    <x v="2"/>
    <x v="3"/>
    <x v="1"/>
    <x v="1"/>
    <x v="0"/>
    <x v="0"/>
    <x v="13"/>
    <x v="0"/>
    <x v="0"/>
    <x v="0"/>
    <x v="0"/>
  </r>
  <r>
    <x v="183"/>
    <x v="1"/>
    <x v="1"/>
    <x v="0"/>
    <x v="4"/>
    <x v="0"/>
    <x v="4"/>
    <x v="0"/>
    <x v="2"/>
    <x v="2"/>
    <x v="1"/>
    <x v="29"/>
    <x v="1"/>
    <x v="1"/>
    <x v="0"/>
    <x v="0"/>
  </r>
  <r>
    <x v="184"/>
    <x v="0"/>
    <x v="0"/>
    <x v="12"/>
    <x v="5"/>
    <x v="2"/>
    <x v="4"/>
    <x v="1"/>
    <x v="3"/>
    <x v="4"/>
    <x v="0"/>
    <x v="7"/>
    <x v="1"/>
    <x v="0"/>
    <x v="2"/>
    <x v="1"/>
  </r>
  <r>
    <x v="185"/>
    <x v="0"/>
    <x v="0"/>
    <x v="8"/>
    <x v="0"/>
    <x v="0"/>
    <x v="2"/>
    <x v="0"/>
    <x v="1"/>
    <x v="1"/>
    <x v="1"/>
    <x v="15"/>
    <x v="0"/>
    <x v="1"/>
    <x v="1"/>
    <x v="0"/>
  </r>
  <r>
    <x v="186"/>
    <x v="0"/>
    <x v="0"/>
    <x v="1"/>
    <x v="1"/>
    <x v="2"/>
    <x v="0"/>
    <x v="1"/>
    <x v="2"/>
    <x v="3"/>
    <x v="1"/>
    <x v="16"/>
    <x v="1"/>
    <x v="1"/>
    <x v="0"/>
    <x v="1"/>
  </r>
  <r>
    <x v="187"/>
    <x v="1"/>
    <x v="1"/>
    <x v="2"/>
    <x v="2"/>
    <x v="1"/>
    <x v="2"/>
    <x v="1"/>
    <x v="2"/>
    <x v="4"/>
    <x v="0"/>
    <x v="14"/>
    <x v="1"/>
    <x v="0"/>
    <x v="1"/>
    <x v="1"/>
  </r>
  <r>
    <x v="188"/>
    <x v="0"/>
    <x v="0"/>
    <x v="3"/>
    <x v="3"/>
    <x v="0"/>
    <x v="2"/>
    <x v="0"/>
    <x v="3"/>
    <x v="4"/>
    <x v="1"/>
    <x v="21"/>
    <x v="2"/>
    <x v="1"/>
    <x v="1"/>
    <x v="0"/>
  </r>
  <r>
    <x v="189"/>
    <x v="0"/>
    <x v="1"/>
    <x v="1"/>
    <x v="0"/>
    <x v="1"/>
    <x v="1"/>
    <x v="0"/>
    <x v="1"/>
    <x v="0"/>
    <x v="0"/>
    <x v="20"/>
    <x v="0"/>
    <x v="1"/>
    <x v="0"/>
    <x v="0"/>
  </r>
  <r>
    <x v="190"/>
    <x v="0"/>
    <x v="1"/>
    <x v="1"/>
    <x v="1"/>
    <x v="2"/>
    <x v="0"/>
    <x v="0"/>
    <x v="2"/>
    <x v="2"/>
    <x v="1"/>
    <x v="10"/>
    <x v="0"/>
    <x v="0"/>
    <x v="0"/>
    <x v="1"/>
  </r>
  <r>
    <x v="191"/>
    <x v="1"/>
    <x v="1"/>
    <x v="8"/>
    <x v="4"/>
    <x v="2"/>
    <x v="3"/>
    <x v="0"/>
    <x v="0"/>
    <x v="0"/>
    <x v="0"/>
    <x v="4"/>
    <x v="0"/>
    <x v="1"/>
    <x v="1"/>
    <x v="0"/>
  </r>
  <r>
    <x v="192"/>
    <x v="1"/>
    <x v="0"/>
    <x v="2"/>
    <x v="2"/>
    <x v="0"/>
    <x v="4"/>
    <x v="0"/>
    <x v="2"/>
    <x v="4"/>
    <x v="0"/>
    <x v="24"/>
    <x v="1"/>
    <x v="0"/>
    <x v="1"/>
    <x v="1"/>
  </r>
  <r>
    <x v="193"/>
    <x v="0"/>
    <x v="0"/>
    <x v="3"/>
    <x v="2"/>
    <x v="0"/>
    <x v="2"/>
    <x v="0"/>
    <x v="3"/>
    <x v="4"/>
    <x v="1"/>
    <x v="3"/>
    <x v="0"/>
    <x v="0"/>
    <x v="1"/>
    <x v="1"/>
  </r>
  <r>
    <x v="194"/>
    <x v="1"/>
    <x v="0"/>
    <x v="4"/>
    <x v="3"/>
    <x v="3"/>
    <x v="3"/>
    <x v="1"/>
    <x v="2"/>
    <x v="0"/>
    <x v="0"/>
    <x v="21"/>
    <x v="2"/>
    <x v="0"/>
    <x v="0"/>
    <x v="0"/>
  </r>
  <r>
    <x v="195"/>
    <x v="1"/>
    <x v="1"/>
    <x v="6"/>
    <x v="3"/>
    <x v="0"/>
    <x v="1"/>
    <x v="0"/>
    <x v="0"/>
    <x v="0"/>
    <x v="1"/>
    <x v="37"/>
    <x v="2"/>
    <x v="1"/>
    <x v="0"/>
    <x v="0"/>
  </r>
  <r>
    <x v="196"/>
    <x v="1"/>
    <x v="0"/>
    <x v="14"/>
    <x v="3"/>
    <x v="4"/>
    <x v="0"/>
    <x v="0"/>
    <x v="0"/>
    <x v="3"/>
    <x v="0"/>
    <x v="4"/>
    <x v="0"/>
    <x v="0"/>
    <x v="0"/>
    <x v="0"/>
  </r>
  <r>
    <x v="197"/>
    <x v="0"/>
    <x v="1"/>
    <x v="10"/>
    <x v="4"/>
    <x v="4"/>
    <x v="4"/>
    <x v="0"/>
    <x v="1"/>
    <x v="0"/>
    <x v="1"/>
    <x v="41"/>
    <x v="1"/>
    <x v="1"/>
    <x v="1"/>
    <x v="0"/>
  </r>
  <r>
    <x v="198"/>
    <x v="1"/>
    <x v="0"/>
    <x v="11"/>
    <x v="3"/>
    <x v="4"/>
    <x v="4"/>
    <x v="1"/>
    <x v="1"/>
    <x v="3"/>
    <x v="1"/>
    <x v="32"/>
    <x v="0"/>
    <x v="1"/>
    <x v="1"/>
    <x v="0"/>
  </r>
  <r>
    <x v="199"/>
    <x v="1"/>
    <x v="1"/>
    <x v="2"/>
    <x v="3"/>
    <x v="0"/>
    <x v="2"/>
    <x v="1"/>
    <x v="4"/>
    <x v="4"/>
    <x v="1"/>
    <x v="6"/>
    <x v="2"/>
    <x v="1"/>
    <x v="1"/>
    <x v="0"/>
  </r>
  <r>
    <x v="200"/>
    <x v="1"/>
    <x v="1"/>
    <x v="10"/>
    <x v="3"/>
    <x v="0"/>
    <x v="2"/>
    <x v="1"/>
    <x v="4"/>
    <x v="1"/>
    <x v="1"/>
    <x v="23"/>
    <x v="2"/>
    <x v="0"/>
    <x v="1"/>
    <x v="0"/>
  </r>
  <r>
    <x v="201"/>
    <x v="0"/>
    <x v="1"/>
    <x v="4"/>
    <x v="0"/>
    <x v="2"/>
    <x v="3"/>
    <x v="0"/>
    <x v="0"/>
    <x v="1"/>
    <x v="1"/>
    <x v="40"/>
    <x v="2"/>
    <x v="1"/>
    <x v="0"/>
    <x v="0"/>
  </r>
  <r>
    <x v="202"/>
    <x v="1"/>
    <x v="1"/>
    <x v="0"/>
    <x v="4"/>
    <x v="1"/>
    <x v="1"/>
    <x v="0"/>
    <x v="0"/>
    <x v="3"/>
    <x v="0"/>
    <x v="6"/>
    <x v="2"/>
    <x v="1"/>
    <x v="0"/>
    <x v="0"/>
  </r>
  <r>
    <x v="203"/>
    <x v="1"/>
    <x v="0"/>
    <x v="10"/>
    <x v="0"/>
    <x v="1"/>
    <x v="0"/>
    <x v="0"/>
    <x v="1"/>
    <x v="2"/>
    <x v="1"/>
    <x v="30"/>
    <x v="0"/>
    <x v="1"/>
    <x v="1"/>
    <x v="0"/>
  </r>
  <r>
    <x v="204"/>
    <x v="1"/>
    <x v="0"/>
    <x v="8"/>
    <x v="1"/>
    <x v="2"/>
    <x v="2"/>
    <x v="1"/>
    <x v="1"/>
    <x v="1"/>
    <x v="0"/>
    <x v="36"/>
    <x v="0"/>
    <x v="0"/>
    <x v="1"/>
    <x v="1"/>
  </r>
  <r>
    <x v="205"/>
    <x v="0"/>
    <x v="1"/>
    <x v="1"/>
    <x v="1"/>
    <x v="4"/>
    <x v="1"/>
    <x v="0"/>
    <x v="0"/>
    <x v="0"/>
    <x v="0"/>
    <x v="30"/>
    <x v="0"/>
    <x v="1"/>
    <x v="0"/>
    <x v="1"/>
  </r>
  <r>
    <x v="206"/>
    <x v="1"/>
    <x v="1"/>
    <x v="8"/>
    <x v="2"/>
    <x v="1"/>
    <x v="2"/>
    <x v="1"/>
    <x v="2"/>
    <x v="4"/>
    <x v="0"/>
    <x v="24"/>
    <x v="1"/>
    <x v="0"/>
    <x v="1"/>
    <x v="1"/>
  </r>
  <r>
    <x v="207"/>
    <x v="1"/>
    <x v="0"/>
    <x v="6"/>
    <x v="3"/>
    <x v="3"/>
    <x v="3"/>
    <x v="0"/>
    <x v="2"/>
    <x v="3"/>
    <x v="0"/>
    <x v="22"/>
    <x v="2"/>
    <x v="1"/>
    <x v="0"/>
    <x v="0"/>
  </r>
  <r>
    <x v="208"/>
    <x v="1"/>
    <x v="0"/>
    <x v="0"/>
    <x v="3"/>
    <x v="4"/>
    <x v="1"/>
    <x v="0"/>
    <x v="0"/>
    <x v="0"/>
    <x v="0"/>
    <x v="34"/>
    <x v="0"/>
    <x v="1"/>
    <x v="0"/>
    <x v="0"/>
  </r>
  <r>
    <x v="209"/>
    <x v="1"/>
    <x v="0"/>
    <x v="1"/>
    <x v="1"/>
    <x v="1"/>
    <x v="1"/>
    <x v="0"/>
    <x v="0"/>
    <x v="0"/>
    <x v="0"/>
    <x v="0"/>
    <x v="0"/>
    <x v="1"/>
    <x v="0"/>
    <x v="1"/>
  </r>
  <r>
    <x v="210"/>
    <x v="0"/>
    <x v="0"/>
    <x v="2"/>
    <x v="5"/>
    <x v="4"/>
    <x v="4"/>
    <x v="0"/>
    <x v="1"/>
    <x v="0"/>
    <x v="1"/>
    <x v="4"/>
    <x v="0"/>
    <x v="0"/>
    <x v="1"/>
    <x v="1"/>
  </r>
  <r>
    <x v="211"/>
    <x v="0"/>
    <x v="0"/>
    <x v="14"/>
    <x v="3"/>
    <x v="4"/>
    <x v="0"/>
    <x v="0"/>
    <x v="0"/>
    <x v="0"/>
    <x v="0"/>
    <x v="4"/>
    <x v="0"/>
    <x v="1"/>
    <x v="0"/>
    <x v="0"/>
  </r>
  <r>
    <x v="212"/>
    <x v="1"/>
    <x v="0"/>
    <x v="1"/>
    <x v="3"/>
    <x v="1"/>
    <x v="1"/>
    <x v="1"/>
    <x v="1"/>
    <x v="1"/>
    <x v="0"/>
    <x v="25"/>
    <x v="2"/>
    <x v="0"/>
    <x v="0"/>
    <x v="0"/>
  </r>
  <r>
    <x v="213"/>
    <x v="1"/>
    <x v="1"/>
    <x v="3"/>
    <x v="3"/>
    <x v="0"/>
    <x v="2"/>
    <x v="1"/>
    <x v="3"/>
    <x v="4"/>
    <x v="1"/>
    <x v="23"/>
    <x v="2"/>
    <x v="1"/>
    <x v="1"/>
    <x v="0"/>
  </r>
  <r>
    <x v="214"/>
    <x v="0"/>
    <x v="1"/>
    <x v="1"/>
    <x v="0"/>
    <x v="0"/>
    <x v="1"/>
    <x v="0"/>
    <x v="0"/>
    <x v="0"/>
    <x v="0"/>
    <x v="27"/>
    <x v="1"/>
    <x v="1"/>
    <x v="0"/>
    <x v="0"/>
  </r>
  <r>
    <x v="215"/>
    <x v="1"/>
    <x v="1"/>
    <x v="2"/>
    <x v="5"/>
    <x v="1"/>
    <x v="2"/>
    <x v="1"/>
    <x v="2"/>
    <x v="1"/>
    <x v="0"/>
    <x v="9"/>
    <x v="0"/>
    <x v="1"/>
    <x v="1"/>
    <x v="1"/>
  </r>
  <r>
    <x v="216"/>
    <x v="0"/>
    <x v="1"/>
    <x v="6"/>
    <x v="4"/>
    <x v="3"/>
    <x v="1"/>
    <x v="0"/>
    <x v="4"/>
    <x v="2"/>
    <x v="1"/>
    <x v="9"/>
    <x v="0"/>
    <x v="0"/>
    <x v="0"/>
    <x v="0"/>
  </r>
  <r>
    <x v="217"/>
    <x v="1"/>
    <x v="0"/>
    <x v="6"/>
    <x v="3"/>
    <x v="3"/>
    <x v="3"/>
    <x v="1"/>
    <x v="2"/>
    <x v="0"/>
    <x v="0"/>
    <x v="37"/>
    <x v="2"/>
    <x v="0"/>
    <x v="0"/>
    <x v="0"/>
  </r>
  <r>
    <x v="218"/>
    <x v="1"/>
    <x v="1"/>
    <x v="4"/>
    <x v="0"/>
    <x v="0"/>
    <x v="3"/>
    <x v="0"/>
    <x v="0"/>
    <x v="0"/>
    <x v="0"/>
    <x v="28"/>
    <x v="0"/>
    <x v="0"/>
    <x v="0"/>
    <x v="0"/>
  </r>
  <r>
    <x v="219"/>
    <x v="1"/>
    <x v="1"/>
    <x v="4"/>
    <x v="3"/>
    <x v="1"/>
    <x v="3"/>
    <x v="0"/>
    <x v="1"/>
    <x v="3"/>
    <x v="1"/>
    <x v="22"/>
    <x v="2"/>
    <x v="1"/>
    <x v="0"/>
    <x v="0"/>
  </r>
  <r>
    <x v="220"/>
    <x v="0"/>
    <x v="1"/>
    <x v="10"/>
    <x v="0"/>
    <x v="0"/>
    <x v="2"/>
    <x v="0"/>
    <x v="1"/>
    <x v="2"/>
    <x v="1"/>
    <x v="1"/>
    <x v="0"/>
    <x v="1"/>
    <x v="1"/>
    <x v="0"/>
  </r>
  <r>
    <x v="221"/>
    <x v="1"/>
    <x v="1"/>
    <x v="4"/>
    <x v="3"/>
    <x v="3"/>
    <x v="3"/>
    <x v="1"/>
    <x v="2"/>
    <x v="3"/>
    <x v="0"/>
    <x v="11"/>
    <x v="2"/>
    <x v="0"/>
    <x v="0"/>
    <x v="0"/>
  </r>
  <r>
    <x v="222"/>
    <x v="0"/>
    <x v="0"/>
    <x v="1"/>
    <x v="1"/>
    <x v="1"/>
    <x v="1"/>
    <x v="1"/>
    <x v="0"/>
    <x v="0"/>
    <x v="0"/>
    <x v="0"/>
    <x v="0"/>
    <x v="0"/>
    <x v="0"/>
    <x v="1"/>
  </r>
  <r>
    <x v="223"/>
    <x v="1"/>
    <x v="0"/>
    <x v="3"/>
    <x v="2"/>
    <x v="0"/>
    <x v="2"/>
    <x v="0"/>
    <x v="3"/>
    <x v="4"/>
    <x v="1"/>
    <x v="32"/>
    <x v="0"/>
    <x v="0"/>
    <x v="1"/>
    <x v="1"/>
  </r>
  <r>
    <x v="224"/>
    <x v="0"/>
    <x v="0"/>
    <x v="1"/>
    <x v="4"/>
    <x v="1"/>
    <x v="1"/>
    <x v="1"/>
    <x v="2"/>
    <x v="0"/>
    <x v="1"/>
    <x v="41"/>
    <x v="1"/>
    <x v="0"/>
    <x v="0"/>
    <x v="0"/>
  </r>
  <r>
    <x v="225"/>
    <x v="0"/>
    <x v="1"/>
    <x v="6"/>
    <x v="0"/>
    <x v="1"/>
    <x v="3"/>
    <x v="0"/>
    <x v="0"/>
    <x v="3"/>
    <x v="0"/>
    <x v="11"/>
    <x v="2"/>
    <x v="0"/>
    <x v="0"/>
    <x v="0"/>
  </r>
  <r>
    <x v="226"/>
    <x v="1"/>
    <x v="0"/>
    <x v="6"/>
    <x v="1"/>
    <x v="2"/>
    <x v="3"/>
    <x v="0"/>
    <x v="1"/>
    <x v="0"/>
    <x v="0"/>
    <x v="0"/>
    <x v="0"/>
    <x v="1"/>
    <x v="0"/>
    <x v="1"/>
  </r>
  <r>
    <x v="227"/>
    <x v="0"/>
    <x v="1"/>
    <x v="4"/>
    <x v="1"/>
    <x v="3"/>
    <x v="3"/>
    <x v="0"/>
    <x v="2"/>
    <x v="0"/>
    <x v="0"/>
    <x v="1"/>
    <x v="0"/>
    <x v="0"/>
    <x v="0"/>
    <x v="1"/>
  </r>
  <r>
    <x v="228"/>
    <x v="0"/>
    <x v="0"/>
    <x v="6"/>
    <x v="0"/>
    <x v="4"/>
    <x v="1"/>
    <x v="0"/>
    <x v="0"/>
    <x v="0"/>
    <x v="0"/>
    <x v="12"/>
    <x v="0"/>
    <x v="0"/>
    <x v="0"/>
    <x v="0"/>
  </r>
  <r>
    <x v="229"/>
    <x v="1"/>
    <x v="1"/>
    <x v="2"/>
    <x v="2"/>
    <x v="2"/>
    <x v="4"/>
    <x v="0"/>
    <x v="4"/>
    <x v="4"/>
    <x v="0"/>
    <x v="42"/>
    <x v="1"/>
    <x v="0"/>
    <x v="1"/>
    <x v="1"/>
  </r>
  <r>
    <x v="230"/>
    <x v="0"/>
    <x v="1"/>
    <x v="7"/>
    <x v="5"/>
    <x v="1"/>
    <x v="4"/>
    <x v="0"/>
    <x v="4"/>
    <x v="4"/>
    <x v="0"/>
    <x v="16"/>
    <x v="1"/>
    <x v="0"/>
    <x v="2"/>
    <x v="1"/>
  </r>
  <r>
    <x v="231"/>
    <x v="0"/>
    <x v="0"/>
    <x v="0"/>
    <x v="3"/>
    <x v="0"/>
    <x v="1"/>
    <x v="0"/>
    <x v="0"/>
    <x v="0"/>
    <x v="0"/>
    <x v="13"/>
    <x v="0"/>
    <x v="1"/>
    <x v="0"/>
    <x v="0"/>
  </r>
  <r>
    <x v="232"/>
    <x v="0"/>
    <x v="0"/>
    <x v="1"/>
    <x v="5"/>
    <x v="4"/>
    <x v="1"/>
    <x v="0"/>
    <x v="0"/>
    <x v="0"/>
    <x v="0"/>
    <x v="12"/>
    <x v="0"/>
    <x v="0"/>
    <x v="0"/>
    <x v="1"/>
  </r>
  <r>
    <x v="233"/>
    <x v="0"/>
    <x v="1"/>
    <x v="6"/>
    <x v="3"/>
    <x v="0"/>
    <x v="1"/>
    <x v="0"/>
    <x v="0"/>
    <x v="0"/>
    <x v="1"/>
    <x v="40"/>
    <x v="2"/>
    <x v="1"/>
    <x v="0"/>
    <x v="0"/>
  </r>
  <r>
    <x v="234"/>
    <x v="1"/>
    <x v="1"/>
    <x v="8"/>
    <x v="3"/>
    <x v="0"/>
    <x v="2"/>
    <x v="1"/>
    <x v="3"/>
    <x v="4"/>
    <x v="1"/>
    <x v="11"/>
    <x v="2"/>
    <x v="1"/>
    <x v="1"/>
    <x v="0"/>
  </r>
  <r>
    <x v="235"/>
    <x v="0"/>
    <x v="0"/>
    <x v="4"/>
    <x v="0"/>
    <x v="4"/>
    <x v="1"/>
    <x v="0"/>
    <x v="0"/>
    <x v="0"/>
    <x v="0"/>
    <x v="43"/>
    <x v="1"/>
    <x v="1"/>
    <x v="0"/>
    <x v="0"/>
  </r>
  <r>
    <x v="236"/>
    <x v="1"/>
    <x v="0"/>
    <x v="1"/>
    <x v="2"/>
    <x v="4"/>
    <x v="1"/>
    <x v="0"/>
    <x v="0"/>
    <x v="0"/>
    <x v="0"/>
    <x v="20"/>
    <x v="0"/>
    <x v="1"/>
    <x v="0"/>
    <x v="1"/>
  </r>
  <r>
    <x v="237"/>
    <x v="0"/>
    <x v="0"/>
    <x v="4"/>
    <x v="3"/>
    <x v="1"/>
    <x v="3"/>
    <x v="1"/>
    <x v="1"/>
    <x v="0"/>
    <x v="1"/>
    <x v="22"/>
    <x v="2"/>
    <x v="1"/>
    <x v="0"/>
    <x v="0"/>
  </r>
  <r>
    <x v="238"/>
    <x v="0"/>
    <x v="1"/>
    <x v="3"/>
    <x v="2"/>
    <x v="1"/>
    <x v="0"/>
    <x v="0"/>
    <x v="4"/>
    <x v="2"/>
    <x v="1"/>
    <x v="30"/>
    <x v="0"/>
    <x v="0"/>
    <x v="1"/>
    <x v="1"/>
  </r>
  <r>
    <x v="239"/>
    <x v="1"/>
    <x v="0"/>
    <x v="1"/>
    <x v="3"/>
    <x v="2"/>
    <x v="3"/>
    <x v="1"/>
    <x v="1"/>
    <x v="1"/>
    <x v="0"/>
    <x v="17"/>
    <x v="2"/>
    <x v="1"/>
    <x v="0"/>
    <x v="0"/>
  </r>
  <r>
    <x v="240"/>
    <x v="0"/>
    <x v="1"/>
    <x v="4"/>
    <x v="0"/>
    <x v="4"/>
    <x v="3"/>
    <x v="0"/>
    <x v="0"/>
    <x v="0"/>
    <x v="0"/>
    <x v="34"/>
    <x v="0"/>
    <x v="0"/>
    <x v="0"/>
    <x v="0"/>
  </r>
  <r>
    <x v="241"/>
    <x v="1"/>
    <x v="0"/>
    <x v="1"/>
    <x v="1"/>
    <x v="1"/>
    <x v="1"/>
    <x v="0"/>
    <x v="2"/>
    <x v="0"/>
    <x v="0"/>
    <x v="40"/>
    <x v="2"/>
    <x v="0"/>
    <x v="0"/>
    <x v="1"/>
  </r>
  <r>
    <x v="242"/>
    <x v="1"/>
    <x v="1"/>
    <x v="1"/>
    <x v="0"/>
    <x v="0"/>
    <x v="1"/>
    <x v="1"/>
    <x v="1"/>
    <x v="0"/>
    <x v="0"/>
    <x v="32"/>
    <x v="0"/>
    <x v="1"/>
    <x v="0"/>
    <x v="0"/>
  </r>
  <r>
    <x v="243"/>
    <x v="1"/>
    <x v="0"/>
    <x v="6"/>
    <x v="3"/>
    <x v="2"/>
    <x v="3"/>
    <x v="1"/>
    <x v="1"/>
    <x v="1"/>
    <x v="0"/>
    <x v="19"/>
    <x v="2"/>
    <x v="0"/>
    <x v="0"/>
    <x v="0"/>
  </r>
  <r>
    <x v="244"/>
    <x v="0"/>
    <x v="0"/>
    <x v="7"/>
    <x v="1"/>
    <x v="0"/>
    <x v="4"/>
    <x v="1"/>
    <x v="2"/>
    <x v="4"/>
    <x v="0"/>
    <x v="31"/>
    <x v="0"/>
    <x v="1"/>
    <x v="2"/>
    <x v="1"/>
  </r>
  <r>
    <x v="245"/>
    <x v="0"/>
    <x v="1"/>
    <x v="15"/>
    <x v="2"/>
    <x v="0"/>
    <x v="4"/>
    <x v="0"/>
    <x v="3"/>
    <x v="1"/>
    <x v="1"/>
    <x v="28"/>
    <x v="0"/>
    <x v="1"/>
    <x v="2"/>
    <x v="1"/>
  </r>
  <r>
    <x v="246"/>
    <x v="0"/>
    <x v="0"/>
    <x v="12"/>
    <x v="1"/>
    <x v="1"/>
    <x v="2"/>
    <x v="0"/>
    <x v="4"/>
    <x v="0"/>
    <x v="0"/>
    <x v="36"/>
    <x v="0"/>
    <x v="1"/>
    <x v="2"/>
    <x v="1"/>
  </r>
  <r>
    <x v="247"/>
    <x v="0"/>
    <x v="0"/>
    <x v="11"/>
    <x v="3"/>
    <x v="2"/>
    <x v="4"/>
    <x v="0"/>
    <x v="3"/>
    <x v="4"/>
    <x v="1"/>
    <x v="17"/>
    <x v="2"/>
    <x v="1"/>
    <x v="1"/>
    <x v="0"/>
  </r>
  <r>
    <x v="248"/>
    <x v="0"/>
    <x v="0"/>
    <x v="4"/>
    <x v="2"/>
    <x v="2"/>
    <x v="0"/>
    <x v="1"/>
    <x v="4"/>
    <x v="3"/>
    <x v="1"/>
    <x v="24"/>
    <x v="1"/>
    <x v="0"/>
    <x v="0"/>
    <x v="1"/>
  </r>
  <r>
    <x v="249"/>
    <x v="1"/>
    <x v="1"/>
    <x v="3"/>
    <x v="3"/>
    <x v="0"/>
    <x v="2"/>
    <x v="0"/>
    <x v="1"/>
    <x v="2"/>
    <x v="1"/>
    <x v="34"/>
    <x v="0"/>
    <x v="1"/>
    <x v="1"/>
    <x v="0"/>
  </r>
  <r>
    <x v="250"/>
    <x v="0"/>
    <x v="1"/>
    <x v="11"/>
    <x v="2"/>
    <x v="4"/>
    <x v="4"/>
    <x v="1"/>
    <x v="1"/>
    <x v="3"/>
    <x v="1"/>
    <x v="44"/>
    <x v="1"/>
    <x v="1"/>
    <x v="1"/>
    <x v="1"/>
  </r>
  <r>
    <x v="251"/>
    <x v="0"/>
    <x v="1"/>
    <x v="12"/>
    <x v="5"/>
    <x v="2"/>
    <x v="2"/>
    <x v="0"/>
    <x v="4"/>
    <x v="0"/>
    <x v="0"/>
    <x v="10"/>
    <x v="0"/>
    <x v="0"/>
    <x v="2"/>
    <x v="1"/>
  </r>
  <r>
    <x v="252"/>
    <x v="1"/>
    <x v="1"/>
    <x v="10"/>
    <x v="3"/>
    <x v="0"/>
    <x v="2"/>
    <x v="1"/>
    <x v="3"/>
    <x v="1"/>
    <x v="1"/>
    <x v="23"/>
    <x v="2"/>
    <x v="0"/>
    <x v="1"/>
    <x v="0"/>
  </r>
  <r>
    <x v="253"/>
    <x v="0"/>
    <x v="1"/>
    <x v="11"/>
    <x v="1"/>
    <x v="3"/>
    <x v="2"/>
    <x v="0"/>
    <x v="0"/>
    <x v="4"/>
    <x v="0"/>
    <x v="14"/>
    <x v="1"/>
    <x v="1"/>
    <x v="1"/>
    <x v="1"/>
  </r>
  <r>
    <x v="254"/>
    <x v="1"/>
    <x v="1"/>
    <x v="6"/>
    <x v="4"/>
    <x v="3"/>
    <x v="1"/>
    <x v="0"/>
    <x v="2"/>
    <x v="2"/>
    <x v="1"/>
    <x v="42"/>
    <x v="1"/>
    <x v="0"/>
    <x v="0"/>
    <x v="0"/>
  </r>
  <r>
    <x v="255"/>
    <x v="1"/>
    <x v="0"/>
    <x v="1"/>
    <x v="1"/>
    <x v="4"/>
    <x v="1"/>
    <x v="0"/>
    <x v="0"/>
    <x v="0"/>
    <x v="0"/>
    <x v="15"/>
    <x v="0"/>
    <x v="1"/>
    <x v="0"/>
    <x v="1"/>
  </r>
  <r>
    <x v="256"/>
    <x v="0"/>
    <x v="1"/>
    <x v="6"/>
    <x v="0"/>
    <x v="4"/>
    <x v="1"/>
    <x v="0"/>
    <x v="0"/>
    <x v="0"/>
    <x v="0"/>
    <x v="1"/>
    <x v="0"/>
    <x v="0"/>
    <x v="0"/>
    <x v="0"/>
  </r>
  <r>
    <x v="257"/>
    <x v="1"/>
    <x v="0"/>
    <x v="14"/>
    <x v="3"/>
    <x v="4"/>
    <x v="0"/>
    <x v="0"/>
    <x v="0"/>
    <x v="0"/>
    <x v="0"/>
    <x v="4"/>
    <x v="0"/>
    <x v="1"/>
    <x v="0"/>
    <x v="0"/>
  </r>
  <r>
    <x v="258"/>
    <x v="1"/>
    <x v="0"/>
    <x v="11"/>
    <x v="1"/>
    <x v="1"/>
    <x v="4"/>
    <x v="0"/>
    <x v="3"/>
    <x v="4"/>
    <x v="0"/>
    <x v="16"/>
    <x v="1"/>
    <x v="0"/>
    <x v="1"/>
    <x v="1"/>
  </r>
  <r>
    <x v="259"/>
    <x v="0"/>
    <x v="1"/>
    <x v="13"/>
    <x v="3"/>
    <x v="0"/>
    <x v="4"/>
    <x v="0"/>
    <x v="3"/>
    <x v="0"/>
    <x v="1"/>
    <x v="34"/>
    <x v="0"/>
    <x v="1"/>
    <x v="2"/>
    <x v="0"/>
  </r>
  <r>
    <x v="260"/>
    <x v="1"/>
    <x v="0"/>
    <x v="1"/>
    <x v="4"/>
    <x v="1"/>
    <x v="1"/>
    <x v="0"/>
    <x v="0"/>
    <x v="0"/>
    <x v="0"/>
    <x v="1"/>
    <x v="0"/>
    <x v="0"/>
    <x v="0"/>
    <x v="0"/>
  </r>
  <r>
    <x v="261"/>
    <x v="0"/>
    <x v="0"/>
    <x v="0"/>
    <x v="0"/>
    <x v="0"/>
    <x v="0"/>
    <x v="0"/>
    <x v="1"/>
    <x v="3"/>
    <x v="0"/>
    <x v="6"/>
    <x v="2"/>
    <x v="1"/>
    <x v="0"/>
    <x v="0"/>
  </r>
  <r>
    <x v="262"/>
    <x v="0"/>
    <x v="0"/>
    <x v="4"/>
    <x v="4"/>
    <x v="1"/>
    <x v="3"/>
    <x v="0"/>
    <x v="0"/>
    <x v="3"/>
    <x v="0"/>
    <x v="36"/>
    <x v="0"/>
    <x v="0"/>
    <x v="0"/>
    <x v="0"/>
  </r>
  <r>
    <x v="263"/>
    <x v="1"/>
    <x v="0"/>
    <x v="3"/>
    <x v="2"/>
    <x v="0"/>
    <x v="2"/>
    <x v="0"/>
    <x v="4"/>
    <x v="4"/>
    <x v="1"/>
    <x v="32"/>
    <x v="0"/>
    <x v="0"/>
    <x v="1"/>
    <x v="1"/>
  </r>
  <r>
    <x v="264"/>
    <x v="0"/>
    <x v="1"/>
    <x v="0"/>
    <x v="3"/>
    <x v="4"/>
    <x v="1"/>
    <x v="0"/>
    <x v="0"/>
    <x v="0"/>
    <x v="0"/>
    <x v="34"/>
    <x v="0"/>
    <x v="1"/>
    <x v="0"/>
    <x v="0"/>
  </r>
  <r>
    <x v="265"/>
    <x v="1"/>
    <x v="0"/>
    <x v="1"/>
    <x v="4"/>
    <x v="1"/>
    <x v="1"/>
    <x v="0"/>
    <x v="2"/>
    <x v="0"/>
    <x v="0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  <x v="0"/>
    <x v="1"/>
  </r>
  <r>
    <x v="267"/>
    <x v="1"/>
    <x v="1"/>
    <x v="11"/>
    <x v="2"/>
    <x v="0"/>
    <x v="2"/>
    <x v="0"/>
    <x v="1"/>
    <x v="2"/>
    <x v="1"/>
    <x v="15"/>
    <x v="0"/>
    <x v="1"/>
    <x v="1"/>
    <x v="1"/>
  </r>
  <r>
    <x v="268"/>
    <x v="0"/>
    <x v="1"/>
    <x v="3"/>
    <x v="2"/>
    <x v="1"/>
    <x v="0"/>
    <x v="0"/>
    <x v="4"/>
    <x v="2"/>
    <x v="1"/>
    <x v="12"/>
    <x v="0"/>
    <x v="0"/>
    <x v="1"/>
    <x v="1"/>
  </r>
  <r>
    <x v="269"/>
    <x v="1"/>
    <x v="0"/>
    <x v="14"/>
    <x v="3"/>
    <x v="4"/>
    <x v="0"/>
    <x v="1"/>
    <x v="0"/>
    <x v="0"/>
    <x v="0"/>
    <x v="34"/>
    <x v="0"/>
    <x v="1"/>
    <x v="0"/>
    <x v="0"/>
  </r>
  <r>
    <x v="270"/>
    <x v="1"/>
    <x v="0"/>
    <x v="4"/>
    <x v="4"/>
    <x v="1"/>
    <x v="3"/>
    <x v="0"/>
    <x v="0"/>
    <x v="0"/>
    <x v="0"/>
    <x v="36"/>
    <x v="0"/>
    <x v="1"/>
    <x v="0"/>
    <x v="0"/>
  </r>
  <r>
    <x v="271"/>
    <x v="1"/>
    <x v="0"/>
    <x v="6"/>
    <x v="3"/>
    <x v="2"/>
    <x v="3"/>
    <x v="1"/>
    <x v="1"/>
    <x v="3"/>
    <x v="0"/>
    <x v="26"/>
    <x v="2"/>
    <x v="0"/>
    <x v="0"/>
    <x v="0"/>
  </r>
  <r>
    <x v="272"/>
    <x v="0"/>
    <x v="1"/>
    <x v="4"/>
    <x v="5"/>
    <x v="3"/>
    <x v="3"/>
    <x v="0"/>
    <x v="1"/>
    <x v="0"/>
    <x v="0"/>
    <x v="8"/>
    <x v="0"/>
    <x v="1"/>
    <x v="0"/>
    <x v="1"/>
  </r>
  <r>
    <x v="273"/>
    <x v="1"/>
    <x v="0"/>
    <x v="6"/>
    <x v="3"/>
    <x v="2"/>
    <x v="3"/>
    <x v="1"/>
    <x v="1"/>
    <x v="1"/>
    <x v="0"/>
    <x v="25"/>
    <x v="2"/>
    <x v="0"/>
    <x v="0"/>
    <x v="0"/>
  </r>
  <r>
    <x v="274"/>
    <x v="0"/>
    <x v="0"/>
    <x v="1"/>
    <x v="3"/>
    <x v="0"/>
    <x v="1"/>
    <x v="1"/>
    <x v="0"/>
    <x v="0"/>
    <x v="0"/>
    <x v="4"/>
    <x v="0"/>
    <x v="1"/>
    <x v="0"/>
    <x v="0"/>
  </r>
  <r>
    <x v="275"/>
    <x v="0"/>
    <x v="0"/>
    <x v="8"/>
    <x v="0"/>
    <x v="4"/>
    <x v="4"/>
    <x v="0"/>
    <x v="0"/>
    <x v="0"/>
    <x v="1"/>
    <x v="34"/>
    <x v="0"/>
    <x v="1"/>
    <x v="1"/>
    <x v="0"/>
  </r>
  <r>
    <x v="276"/>
    <x v="0"/>
    <x v="0"/>
    <x v="4"/>
    <x v="4"/>
    <x v="1"/>
    <x v="3"/>
    <x v="0"/>
    <x v="0"/>
    <x v="3"/>
    <x v="0"/>
    <x v="38"/>
    <x v="0"/>
    <x v="0"/>
    <x v="0"/>
    <x v="0"/>
  </r>
  <r>
    <x v="277"/>
    <x v="0"/>
    <x v="0"/>
    <x v="4"/>
    <x v="4"/>
    <x v="2"/>
    <x v="3"/>
    <x v="0"/>
    <x v="0"/>
    <x v="0"/>
    <x v="0"/>
    <x v="34"/>
    <x v="0"/>
    <x v="1"/>
    <x v="0"/>
    <x v="0"/>
  </r>
  <r>
    <x v="278"/>
    <x v="0"/>
    <x v="1"/>
    <x v="11"/>
    <x v="3"/>
    <x v="2"/>
    <x v="4"/>
    <x v="0"/>
    <x v="4"/>
    <x v="4"/>
    <x v="1"/>
    <x v="11"/>
    <x v="2"/>
    <x v="1"/>
    <x v="1"/>
    <x v="0"/>
  </r>
  <r>
    <x v="279"/>
    <x v="1"/>
    <x v="1"/>
    <x v="1"/>
    <x v="0"/>
    <x v="0"/>
    <x v="1"/>
    <x v="1"/>
    <x v="0"/>
    <x v="0"/>
    <x v="0"/>
    <x v="13"/>
    <x v="0"/>
    <x v="1"/>
    <x v="0"/>
    <x v="0"/>
  </r>
  <r>
    <x v="280"/>
    <x v="1"/>
    <x v="0"/>
    <x v="4"/>
    <x v="1"/>
    <x v="3"/>
    <x v="3"/>
    <x v="0"/>
    <x v="2"/>
    <x v="0"/>
    <x v="0"/>
    <x v="1"/>
    <x v="0"/>
    <x v="0"/>
    <x v="0"/>
    <x v="1"/>
  </r>
  <r>
    <x v="281"/>
    <x v="1"/>
    <x v="1"/>
    <x v="6"/>
    <x v="0"/>
    <x v="1"/>
    <x v="3"/>
    <x v="1"/>
    <x v="0"/>
    <x v="0"/>
    <x v="0"/>
    <x v="34"/>
    <x v="0"/>
    <x v="0"/>
    <x v="0"/>
    <x v="0"/>
  </r>
  <r>
    <x v="282"/>
    <x v="1"/>
    <x v="1"/>
    <x v="4"/>
    <x v="3"/>
    <x v="3"/>
    <x v="3"/>
    <x v="1"/>
    <x v="2"/>
    <x v="0"/>
    <x v="0"/>
    <x v="17"/>
    <x v="2"/>
    <x v="0"/>
    <x v="0"/>
    <x v="0"/>
  </r>
  <r>
    <x v="283"/>
    <x v="0"/>
    <x v="0"/>
    <x v="3"/>
    <x v="2"/>
    <x v="1"/>
    <x v="0"/>
    <x v="1"/>
    <x v="4"/>
    <x v="2"/>
    <x v="1"/>
    <x v="30"/>
    <x v="0"/>
    <x v="0"/>
    <x v="1"/>
    <x v="1"/>
  </r>
  <r>
    <x v="284"/>
    <x v="1"/>
    <x v="1"/>
    <x v="4"/>
    <x v="0"/>
    <x v="1"/>
    <x v="3"/>
    <x v="0"/>
    <x v="0"/>
    <x v="0"/>
    <x v="0"/>
    <x v="38"/>
    <x v="0"/>
    <x v="0"/>
    <x v="0"/>
    <x v="0"/>
  </r>
  <r>
    <x v="285"/>
    <x v="0"/>
    <x v="0"/>
    <x v="10"/>
    <x v="0"/>
    <x v="1"/>
    <x v="0"/>
    <x v="0"/>
    <x v="1"/>
    <x v="2"/>
    <x v="1"/>
    <x v="12"/>
    <x v="0"/>
    <x v="0"/>
    <x v="1"/>
    <x v="0"/>
  </r>
  <r>
    <x v="286"/>
    <x v="1"/>
    <x v="0"/>
    <x v="11"/>
    <x v="0"/>
    <x v="0"/>
    <x v="4"/>
    <x v="0"/>
    <x v="3"/>
    <x v="1"/>
    <x v="1"/>
    <x v="28"/>
    <x v="0"/>
    <x v="0"/>
    <x v="1"/>
    <x v="0"/>
  </r>
  <r>
    <x v="287"/>
    <x v="1"/>
    <x v="0"/>
    <x v="1"/>
    <x v="1"/>
    <x v="4"/>
    <x v="1"/>
    <x v="1"/>
    <x v="0"/>
    <x v="0"/>
    <x v="0"/>
    <x v="30"/>
    <x v="0"/>
    <x v="1"/>
    <x v="0"/>
    <x v="1"/>
  </r>
  <r>
    <x v="288"/>
    <x v="0"/>
    <x v="1"/>
    <x v="12"/>
    <x v="3"/>
    <x v="4"/>
    <x v="4"/>
    <x v="0"/>
    <x v="0"/>
    <x v="2"/>
    <x v="1"/>
    <x v="28"/>
    <x v="0"/>
    <x v="0"/>
    <x v="2"/>
    <x v="0"/>
  </r>
  <r>
    <x v="289"/>
    <x v="0"/>
    <x v="1"/>
    <x v="1"/>
    <x v="1"/>
    <x v="2"/>
    <x v="0"/>
    <x v="0"/>
    <x v="2"/>
    <x v="2"/>
    <x v="1"/>
    <x v="9"/>
    <x v="0"/>
    <x v="1"/>
    <x v="0"/>
    <x v="1"/>
  </r>
  <r>
    <x v="290"/>
    <x v="1"/>
    <x v="0"/>
    <x v="10"/>
    <x v="0"/>
    <x v="1"/>
    <x v="0"/>
    <x v="1"/>
    <x v="1"/>
    <x v="0"/>
    <x v="1"/>
    <x v="30"/>
    <x v="0"/>
    <x v="1"/>
    <x v="1"/>
    <x v="0"/>
  </r>
  <r>
    <x v="291"/>
    <x v="0"/>
    <x v="1"/>
    <x v="0"/>
    <x v="3"/>
    <x v="0"/>
    <x v="1"/>
    <x v="1"/>
    <x v="0"/>
    <x v="0"/>
    <x v="0"/>
    <x v="13"/>
    <x v="0"/>
    <x v="1"/>
    <x v="0"/>
    <x v="0"/>
  </r>
  <r>
    <x v="292"/>
    <x v="0"/>
    <x v="0"/>
    <x v="0"/>
    <x v="0"/>
    <x v="0"/>
    <x v="0"/>
    <x v="0"/>
    <x v="0"/>
    <x v="0"/>
    <x v="0"/>
    <x v="0"/>
    <x v="0"/>
    <x v="1"/>
    <x v="0"/>
    <x v="0"/>
  </r>
  <r>
    <x v="293"/>
    <x v="1"/>
    <x v="0"/>
    <x v="4"/>
    <x v="0"/>
    <x v="2"/>
    <x v="3"/>
    <x v="1"/>
    <x v="1"/>
    <x v="1"/>
    <x v="0"/>
    <x v="30"/>
    <x v="0"/>
    <x v="1"/>
    <x v="0"/>
    <x v="0"/>
  </r>
  <r>
    <x v="294"/>
    <x v="1"/>
    <x v="1"/>
    <x v="6"/>
    <x v="3"/>
    <x v="1"/>
    <x v="3"/>
    <x v="1"/>
    <x v="1"/>
    <x v="1"/>
    <x v="0"/>
    <x v="4"/>
    <x v="0"/>
    <x v="1"/>
    <x v="0"/>
    <x v="0"/>
  </r>
  <r>
    <x v="295"/>
    <x v="1"/>
    <x v="0"/>
    <x v="15"/>
    <x v="3"/>
    <x v="1"/>
    <x v="4"/>
    <x v="0"/>
    <x v="4"/>
    <x v="4"/>
    <x v="1"/>
    <x v="21"/>
    <x v="2"/>
    <x v="1"/>
    <x v="2"/>
    <x v="0"/>
  </r>
  <r>
    <x v="296"/>
    <x v="1"/>
    <x v="0"/>
    <x v="10"/>
    <x v="4"/>
    <x v="0"/>
    <x v="2"/>
    <x v="1"/>
    <x v="1"/>
    <x v="0"/>
    <x v="1"/>
    <x v="32"/>
    <x v="0"/>
    <x v="1"/>
    <x v="1"/>
    <x v="0"/>
  </r>
  <r>
    <x v="297"/>
    <x v="0"/>
    <x v="1"/>
    <x v="11"/>
    <x v="0"/>
    <x v="4"/>
    <x v="4"/>
    <x v="0"/>
    <x v="0"/>
    <x v="1"/>
    <x v="1"/>
    <x v="4"/>
    <x v="0"/>
    <x v="1"/>
    <x v="1"/>
    <x v="0"/>
  </r>
  <r>
    <x v="298"/>
    <x v="0"/>
    <x v="0"/>
    <x v="8"/>
    <x v="5"/>
    <x v="2"/>
    <x v="2"/>
    <x v="1"/>
    <x v="2"/>
    <x v="1"/>
    <x v="0"/>
    <x v="9"/>
    <x v="0"/>
    <x v="1"/>
    <x v="1"/>
    <x v="1"/>
  </r>
  <r>
    <x v="299"/>
    <x v="0"/>
    <x v="0"/>
    <x v="1"/>
    <x v="4"/>
    <x v="1"/>
    <x v="1"/>
    <x v="1"/>
    <x v="2"/>
    <x v="2"/>
    <x v="1"/>
    <x v="45"/>
    <x v="1"/>
    <x v="0"/>
    <x v="0"/>
    <x v="0"/>
  </r>
  <r>
    <x v="300"/>
    <x v="1"/>
    <x v="0"/>
    <x v="4"/>
    <x v="2"/>
    <x v="2"/>
    <x v="0"/>
    <x v="1"/>
    <x v="2"/>
    <x v="3"/>
    <x v="1"/>
    <x v="24"/>
    <x v="1"/>
    <x v="0"/>
    <x v="0"/>
    <x v="1"/>
  </r>
  <r>
    <x v="301"/>
    <x v="1"/>
    <x v="0"/>
    <x v="0"/>
    <x v="3"/>
    <x v="0"/>
    <x v="1"/>
    <x v="1"/>
    <x v="0"/>
    <x v="0"/>
    <x v="1"/>
    <x v="26"/>
    <x v="2"/>
    <x v="1"/>
    <x v="0"/>
    <x v="0"/>
  </r>
  <r>
    <x v="302"/>
    <x v="1"/>
    <x v="1"/>
    <x v="1"/>
    <x v="0"/>
    <x v="0"/>
    <x v="1"/>
    <x v="0"/>
    <x v="0"/>
    <x v="0"/>
    <x v="0"/>
    <x v="24"/>
    <x v="1"/>
    <x v="1"/>
    <x v="0"/>
    <x v="0"/>
  </r>
  <r>
    <x v="303"/>
    <x v="0"/>
    <x v="0"/>
    <x v="1"/>
    <x v="0"/>
    <x v="0"/>
    <x v="0"/>
    <x v="0"/>
    <x v="2"/>
    <x v="0"/>
    <x v="0"/>
    <x v="8"/>
    <x v="0"/>
    <x v="0"/>
    <x v="0"/>
    <x v="0"/>
  </r>
  <r>
    <x v="304"/>
    <x v="0"/>
    <x v="1"/>
    <x v="2"/>
    <x v="5"/>
    <x v="4"/>
    <x v="4"/>
    <x v="0"/>
    <x v="1"/>
    <x v="0"/>
    <x v="1"/>
    <x v="4"/>
    <x v="0"/>
    <x v="1"/>
    <x v="1"/>
    <x v="1"/>
  </r>
  <r>
    <x v="305"/>
    <x v="1"/>
    <x v="1"/>
    <x v="4"/>
    <x v="4"/>
    <x v="3"/>
    <x v="1"/>
    <x v="0"/>
    <x v="2"/>
    <x v="2"/>
    <x v="1"/>
    <x v="7"/>
    <x v="1"/>
    <x v="0"/>
    <x v="0"/>
    <x v="0"/>
  </r>
  <r>
    <x v="306"/>
    <x v="0"/>
    <x v="1"/>
    <x v="8"/>
    <x v="4"/>
    <x v="0"/>
    <x v="2"/>
    <x v="0"/>
    <x v="0"/>
    <x v="3"/>
    <x v="1"/>
    <x v="8"/>
    <x v="0"/>
    <x v="1"/>
    <x v="1"/>
    <x v="0"/>
  </r>
  <r>
    <x v="307"/>
    <x v="0"/>
    <x v="1"/>
    <x v="4"/>
    <x v="4"/>
    <x v="0"/>
    <x v="1"/>
    <x v="0"/>
    <x v="1"/>
    <x v="0"/>
    <x v="0"/>
    <x v="29"/>
    <x v="1"/>
    <x v="0"/>
    <x v="0"/>
    <x v="0"/>
  </r>
  <r>
    <x v="308"/>
    <x v="0"/>
    <x v="1"/>
    <x v="0"/>
    <x v="4"/>
    <x v="1"/>
    <x v="1"/>
    <x v="0"/>
    <x v="1"/>
    <x v="3"/>
    <x v="0"/>
    <x v="11"/>
    <x v="2"/>
    <x v="1"/>
    <x v="0"/>
    <x v="0"/>
  </r>
  <r>
    <x v="309"/>
    <x v="0"/>
    <x v="0"/>
    <x v="6"/>
    <x v="4"/>
    <x v="1"/>
    <x v="3"/>
    <x v="0"/>
    <x v="1"/>
    <x v="1"/>
    <x v="0"/>
    <x v="15"/>
    <x v="0"/>
    <x v="1"/>
    <x v="0"/>
    <x v="0"/>
  </r>
  <r>
    <x v="310"/>
    <x v="0"/>
    <x v="1"/>
    <x v="7"/>
    <x v="5"/>
    <x v="0"/>
    <x v="4"/>
    <x v="0"/>
    <x v="1"/>
    <x v="1"/>
    <x v="1"/>
    <x v="15"/>
    <x v="0"/>
    <x v="0"/>
    <x v="2"/>
    <x v="1"/>
  </r>
  <r>
    <x v="311"/>
    <x v="0"/>
    <x v="1"/>
    <x v="10"/>
    <x v="0"/>
    <x v="1"/>
    <x v="0"/>
    <x v="0"/>
    <x v="1"/>
    <x v="2"/>
    <x v="1"/>
    <x v="30"/>
    <x v="0"/>
    <x v="0"/>
    <x v="1"/>
    <x v="0"/>
  </r>
  <r>
    <x v="312"/>
    <x v="0"/>
    <x v="1"/>
    <x v="6"/>
    <x v="5"/>
    <x v="2"/>
    <x v="0"/>
    <x v="0"/>
    <x v="2"/>
    <x v="2"/>
    <x v="1"/>
    <x v="7"/>
    <x v="1"/>
    <x v="1"/>
    <x v="0"/>
    <x v="1"/>
  </r>
  <r>
    <x v="313"/>
    <x v="1"/>
    <x v="1"/>
    <x v="0"/>
    <x v="1"/>
    <x v="3"/>
    <x v="1"/>
    <x v="1"/>
    <x v="2"/>
    <x v="2"/>
    <x v="1"/>
    <x v="31"/>
    <x v="0"/>
    <x v="1"/>
    <x v="0"/>
    <x v="1"/>
  </r>
  <r>
    <x v="314"/>
    <x v="0"/>
    <x v="1"/>
    <x v="2"/>
    <x v="2"/>
    <x v="0"/>
    <x v="2"/>
    <x v="1"/>
    <x v="1"/>
    <x v="0"/>
    <x v="1"/>
    <x v="15"/>
    <x v="0"/>
    <x v="1"/>
    <x v="1"/>
    <x v="1"/>
  </r>
  <r>
    <x v="315"/>
    <x v="1"/>
    <x v="1"/>
    <x v="3"/>
    <x v="3"/>
    <x v="0"/>
    <x v="2"/>
    <x v="1"/>
    <x v="1"/>
    <x v="2"/>
    <x v="1"/>
    <x v="3"/>
    <x v="0"/>
    <x v="0"/>
    <x v="1"/>
    <x v="0"/>
  </r>
  <r>
    <x v="316"/>
    <x v="0"/>
    <x v="1"/>
    <x v="14"/>
    <x v="4"/>
    <x v="4"/>
    <x v="4"/>
    <x v="0"/>
    <x v="1"/>
    <x v="2"/>
    <x v="1"/>
    <x v="46"/>
    <x v="1"/>
    <x v="1"/>
    <x v="0"/>
    <x v="0"/>
  </r>
  <r>
    <x v="317"/>
    <x v="0"/>
    <x v="1"/>
    <x v="1"/>
    <x v="3"/>
    <x v="0"/>
    <x v="1"/>
    <x v="0"/>
    <x v="0"/>
    <x v="0"/>
    <x v="0"/>
    <x v="11"/>
    <x v="2"/>
    <x v="1"/>
    <x v="0"/>
    <x v="0"/>
  </r>
  <r>
    <x v="318"/>
    <x v="0"/>
    <x v="1"/>
    <x v="12"/>
    <x v="5"/>
    <x v="1"/>
    <x v="2"/>
    <x v="1"/>
    <x v="4"/>
    <x v="4"/>
    <x v="0"/>
    <x v="9"/>
    <x v="0"/>
    <x v="0"/>
    <x v="2"/>
    <x v="1"/>
  </r>
  <r>
    <x v="319"/>
    <x v="0"/>
    <x v="0"/>
    <x v="1"/>
    <x v="1"/>
    <x v="0"/>
    <x v="1"/>
    <x v="0"/>
    <x v="0"/>
    <x v="0"/>
    <x v="0"/>
    <x v="12"/>
    <x v="0"/>
    <x v="0"/>
    <x v="0"/>
    <x v="1"/>
  </r>
  <r>
    <x v="320"/>
    <x v="0"/>
    <x v="1"/>
    <x v="11"/>
    <x v="3"/>
    <x v="4"/>
    <x v="4"/>
    <x v="0"/>
    <x v="0"/>
    <x v="1"/>
    <x v="1"/>
    <x v="8"/>
    <x v="0"/>
    <x v="1"/>
    <x v="1"/>
    <x v="0"/>
  </r>
  <r>
    <x v="321"/>
    <x v="1"/>
    <x v="0"/>
    <x v="5"/>
    <x v="3"/>
    <x v="4"/>
    <x v="4"/>
    <x v="1"/>
    <x v="4"/>
    <x v="0"/>
    <x v="1"/>
    <x v="15"/>
    <x v="0"/>
    <x v="1"/>
    <x v="2"/>
    <x v="0"/>
  </r>
  <r>
    <x v="322"/>
    <x v="1"/>
    <x v="0"/>
    <x v="4"/>
    <x v="5"/>
    <x v="3"/>
    <x v="3"/>
    <x v="0"/>
    <x v="2"/>
    <x v="0"/>
    <x v="0"/>
    <x v="3"/>
    <x v="0"/>
    <x v="1"/>
    <x v="0"/>
    <x v="1"/>
  </r>
  <r>
    <x v="323"/>
    <x v="1"/>
    <x v="0"/>
    <x v="0"/>
    <x v="3"/>
    <x v="4"/>
    <x v="1"/>
    <x v="1"/>
    <x v="0"/>
    <x v="0"/>
    <x v="0"/>
    <x v="34"/>
    <x v="0"/>
    <x v="1"/>
    <x v="0"/>
    <x v="0"/>
  </r>
  <r>
    <x v="324"/>
    <x v="0"/>
    <x v="1"/>
    <x v="8"/>
    <x v="5"/>
    <x v="0"/>
    <x v="2"/>
    <x v="0"/>
    <x v="0"/>
    <x v="3"/>
    <x v="1"/>
    <x v="13"/>
    <x v="0"/>
    <x v="1"/>
    <x v="1"/>
    <x v="1"/>
  </r>
  <r>
    <x v="325"/>
    <x v="1"/>
    <x v="1"/>
    <x v="0"/>
    <x v="4"/>
    <x v="1"/>
    <x v="1"/>
    <x v="1"/>
    <x v="2"/>
    <x v="0"/>
    <x v="0"/>
    <x v="4"/>
    <x v="0"/>
    <x v="1"/>
    <x v="0"/>
    <x v="0"/>
  </r>
  <r>
    <x v="326"/>
    <x v="0"/>
    <x v="0"/>
    <x v="6"/>
    <x v="3"/>
    <x v="0"/>
    <x v="1"/>
    <x v="1"/>
    <x v="0"/>
    <x v="0"/>
    <x v="1"/>
    <x v="22"/>
    <x v="2"/>
    <x v="1"/>
    <x v="0"/>
    <x v="0"/>
  </r>
  <r>
    <x v="327"/>
    <x v="0"/>
    <x v="1"/>
    <x v="1"/>
    <x v="0"/>
    <x v="0"/>
    <x v="0"/>
    <x v="0"/>
    <x v="2"/>
    <x v="0"/>
    <x v="0"/>
    <x v="8"/>
    <x v="0"/>
    <x v="0"/>
    <x v="0"/>
    <x v="0"/>
  </r>
  <r>
    <x v="328"/>
    <x v="1"/>
    <x v="1"/>
    <x v="0"/>
    <x v="4"/>
    <x v="1"/>
    <x v="1"/>
    <x v="0"/>
    <x v="2"/>
    <x v="3"/>
    <x v="0"/>
    <x v="4"/>
    <x v="0"/>
    <x v="0"/>
    <x v="0"/>
    <x v="0"/>
  </r>
  <r>
    <x v="329"/>
    <x v="0"/>
    <x v="0"/>
    <x v="8"/>
    <x v="2"/>
    <x v="3"/>
    <x v="0"/>
    <x v="0"/>
    <x v="2"/>
    <x v="4"/>
    <x v="0"/>
    <x v="14"/>
    <x v="1"/>
    <x v="0"/>
    <x v="1"/>
    <x v="1"/>
  </r>
  <r>
    <x v="330"/>
    <x v="1"/>
    <x v="0"/>
    <x v="2"/>
    <x v="3"/>
    <x v="0"/>
    <x v="2"/>
    <x v="0"/>
    <x v="4"/>
    <x v="4"/>
    <x v="1"/>
    <x v="21"/>
    <x v="2"/>
    <x v="0"/>
    <x v="1"/>
    <x v="0"/>
  </r>
  <r>
    <x v="331"/>
    <x v="0"/>
    <x v="1"/>
    <x v="4"/>
    <x v="3"/>
    <x v="3"/>
    <x v="3"/>
    <x v="1"/>
    <x v="2"/>
    <x v="0"/>
    <x v="0"/>
    <x v="25"/>
    <x v="2"/>
    <x v="0"/>
    <x v="0"/>
    <x v="0"/>
  </r>
  <r>
    <x v="332"/>
    <x v="1"/>
    <x v="0"/>
    <x v="6"/>
    <x v="3"/>
    <x v="3"/>
    <x v="3"/>
    <x v="1"/>
    <x v="2"/>
    <x v="3"/>
    <x v="0"/>
    <x v="11"/>
    <x v="2"/>
    <x v="1"/>
    <x v="0"/>
    <x v="0"/>
  </r>
  <r>
    <x v="333"/>
    <x v="0"/>
    <x v="1"/>
    <x v="12"/>
    <x v="1"/>
    <x v="2"/>
    <x v="2"/>
    <x v="0"/>
    <x v="3"/>
    <x v="2"/>
    <x v="0"/>
    <x v="36"/>
    <x v="0"/>
    <x v="1"/>
    <x v="2"/>
    <x v="1"/>
  </r>
  <r>
    <x v="334"/>
    <x v="0"/>
    <x v="1"/>
    <x v="8"/>
    <x v="4"/>
    <x v="0"/>
    <x v="2"/>
    <x v="0"/>
    <x v="1"/>
    <x v="2"/>
    <x v="1"/>
    <x v="15"/>
    <x v="0"/>
    <x v="0"/>
    <x v="1"/>
    <x v="0"/>
  </r>
  <r>
    <x v="335"/>
    <x v="0"/>
    <x v="1"/>
    <x v="2"/>
    <x v="2"/>
    <x v="4"/>
    <x v="4"/>
    <x v="1"/>
    <x v="2"/>
    <x v="0"/>
    <x v="1"/>
    <x v="32"/>
    <x v="0"/>
    <x v="0"/>
    <x v="1"/>
    <x v="1"/>
  </r>
  <r>
    <x v="336"/>
    <x v="1"/>
    <x v="1"/>
    <x v="6"/>
    <x v="3"/>
    <x v="3"/>
    <x v="3"/>
    <x v="1"/>
    <x v="2"/>
    <x v="0"/>
    <x v="0"/>
    <x v="17"/>
    <x v="2"/>
    <x v="0"/>
    <x v="0"/>
    <x v="0"/>
  </r>
  <r>
    <x v="337"/>
    <x v="0"/>
    <x v="1"/>
    <x v="4"/>
    <x v="3"/>
    <x v="3"/>
    <x v="3"/>
    <x v="0"/>
    <x v="2"/>
    <x v="0"/>
    <x v="0"/>
    <x v="21"/>
    <x v="2"/>
    <x v="0"/>
    <x v="0"/>
    <x v="0"/>
  </r>
  <r>
    <x v="338"/>
    <x v="1"/>
    <x v="0"/>
    <x v="7"/>
    <x v="1"/>
    <x v="2"/>
    <x v="2"/>
    <x v="0"/>
    <x v="3"/>
    <x v="2"/>
    <x v="0"/>
    <x v="5"/>
    <x v="0"/>
    <x v="1"/>
    <x v="2"/>
    <x v="1"/>
  </r>
  <r>
    <x v="339"/>
    <x v="0"/>
    <x v="1"/>
    <x v="6"/>
    <x v="0"/>
    <x v="0"/>
    <x v="1"/>
    <x v="0"/>
    <x v="0"/>
    <x v="0"/>
    <x v="0"/>
    <x v="29"/>
    <x v="1"/>
    <x v="0"/>
    <x v="0"/>
    <x v="0"/>
  </r>
  <r>
    <x v="340"/>
    <x v="1"/>
    <x v="1"/>
    <x v="1"/>
    <x v="3"/>
    <x v="1"/>
    <x v="1"/>
    <x v="0"/>
    <x v="1"/>
    <x v="1"/>
    <x v="0"/>
    <x v="25"/>
    <x v="2"/>
    <x v="0"/>
    <x v="0"/>
    <x v="0"/>
  </r>
  <r>
    <x v="341"/>
    <x v="1"/>
    <x v="0"/>
    <x v="1"/>
    <x v="3"/>
    <x v="2"/>
    <x v="3"/>
    <x v="1"/>
    <x v="1"/>
    <x v="1"/>
    <x v="0"/>
    <x v="21"/>
    <x v="2"/>
    <x v="1"/>
    <x v="0"/>
    <x v="0"/>
  </r>
  <r>
    <x v="342"/>
    <x v="1"/>
    <x v="1"/>
    <x v="4"/>
    <x v="3"/>
    <x v="3"/>
    <x v="3"/>
    <x v="0"/>
    <x v="2"/>
    <x v="3"/>
    <x v="0"/>
    <x v="11"/>
    <x v="2"/>
    <x v="0"/>
    <x v="0"/>
    <x v="0"/>
  </r>
  <r>
    <x v="343"/>
    <x v="1"/>
    <x v="0"/>
    <x v="1"/>
    <x v="3"/>
    <x v="2"/>
    <x v="3"/>
    <x v="1"/>
    <x v="1"/>
    <x v="1"/>
    <x v="0"/>
    <x v="21"/>
    <x v="2"/>
    <x v="0"/>
    <x v="0"/>
    <x v="0"/>
  </r>
  <r>
    <x v="344"/>
    <x v="1"/>
    <x v="1"/>
    <x v="1"/>
    <x v="3"/>
    <x v="1"/>
    <x v="1"/>
    <x v="1"/>
    <x v="1"/>
    <x v="1"/>
    <x v="0"/>
    <x v="23"/>
    <x v="2"/>
    <x v="1"/>
    <x v="0"/>
    <x v="0"/>
  </r>
  <r>
    <x v="345"/>
    <x v="0"/>
    <x v="0"/>
    <x v="6"/>
    <x v="0"/>
    <x v="0"/>
    <x v="1"/>
    <x v="0"/>
    <x v="0"/>
    <x v="0"/>
    <x v="0"/>
    <x v="5"/>
    <x v="0"/>
    <x v="1"/>
    <x v="0"/>
    <x v="0"/>
  </r>
  <r>
    <x v="346"/>
    <x v="0"/>
    <x v="1"/>
    <x v="0"/>
    <x v="0"/>
    <x v="0"/>
    <x v="0"/>
    <x v="1"/>
    <x v="0"/>
    <x v="0"/>
    <x v="0"/>
    <x v="1"/>
    <x v="0"/>
    <x v="1"/>
    <x v="0"/>
    <x v="0"/>
  </r>
  <r>
    <x v="347"/>
    <x v="1"/>
    <x v="0"/>
    <x v="10"/>
    <x v="0"/>
    <x v="1"/>
    <x v="0"/>
    <x v="1"/>
    <x v="1"/>
    <x v="0"/>
    <x v="1"/>
    <x v="12"/>
    <x v="0"/>
    <x v="1"/>
    <x v="1"/>
    <x v="0"/>
  </r>
  <r>
    <x v="348"/>
    <x v="0"/>
    <x v="1"/>
    <x v="6"/>
    <x v="4"/>
    <x v="2"/>
    <x v="3"/>
    <x v="0"/>
    <x v="2"/>
    <x v="0"/>
    <x v="0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  <x v="0"/>
    <x v="0"/>
  </r>
  <r>
    <x v="350"/>
    <x v="1"/>
    <x v="1"/>
    <x v="6"/>
    <x v="3"/>
    <x v="1"/>
    <x v="3"/>
    <x v="1"/>
    <x v="0"/>
    <x v="0"/>
    <x v="1"/>
    <x v="26"/>
    <x v="2"/>
    <x v="1"/>
    <x v="0"/>
    <x v="0"/>
  </r>
  <r>
    <x v="351"/>
    <x v="1"/>
    <x v="1"/>
    <x v="4"/>
    <x v="1"/>
    <x v="2"/>
    <x v="3"/>
    <x v="0"/>
    <x v="0"/>
    <x v="0"/>
    <x v="0"/>
    <x v="34"/>
    <x v="0"/>
    <x v="1"/>
    <x v="0"/>
    <x v="1"/>
  </r>
  <r>
    <x v="352"/>
    <x v="0"/>
    <x v="0"/>
    <x v="2"/>
    <x v="5"/>
    <x v="1"/>
    <x v="2"/>
    <x v="0"/>
    <x v="2"/>
    <x v="1"/>
    <x v="0"/>
    <x v="39"/>
    <x v="0"/>
    <x v="0"/>
    <x v="1"/>
    <x v="1"/>
  </r>
  <r>
    <x v="353"/>
    <x v="1"/>
    <x v="1"/>
    <x v="0"/>
    <x v="3"/>
    <x v="4"/>
    <x v="1"/>
    <x v="1"/>
    <x v="0"/>
    <x v="0"/>
    <x v="0"/>
    <x v="13"/>
    <x v="0"/>
    <x v="1"/>
    <x v="0"/>
    <x v="0"/>
  </r>
  <r>
    <x v="354"/>
    <x v="1"/>
    <x v="1"/>
    <x v="1"/>
    <x v="0"/>
    <x v="0"/>
    <x v="1"/>
    <x v="1"/>
    <x v="1"/>
    <x v="3"/>
    <x v="0"/>
    <x v="32"/>
    <x v="0"/>
    <x v="0"/>
    <x v="0"/>
    <x v="0"/>
  </r>
  <r>
    <x v="355"/>
    <x v="1"/>
    <x v="1"/>
    <x v="2"/>
    <x v="3"/>
    <x v="0"/>
    <x v="2"/>
    <x v="0"/>
    <x v="4"/>
    <x v="4"/>
    <x v="1"/>
    <x v="21"/>
    <x v="2"/>
    <x v="0"/>
    <x v="1"/>
    <x v="0"/>
  </r>
  <r>
    <x v="356"/>
    <x v="0"/>
    <x v="0"/>
    <x v="13"/>
    <x v="1"/>
    <x v="2"/>
    <x v="2"/>
    <x v="0"/>
    <x v="4"/>
    <x v="0"/>
    <x v="0"/>
    <x v="36"/>
    <x v="0"/>
    <x v="1"/>
    <x v="2"/>
    <x v="1"/>
  </r>
  <r>
    <x v="357"/>
    <x v="1"/>
    <x v="0"/>
    <x v="4"/>
    <x v="3"/>
    <x v="3"/>
    <x v="3"/>
    <x v="0"/>
    <x v="2"/>
    <x v="3"/>
    <x v="0"/>
    <x v="6"/>
    <x v="2"/>
    <x v="0"/>
    <x v="0"/>
    <x v="0"/>
  </r>
  <r>
    <x v="358"/>
    <x v="0"/>
    <x v="1"/>
    <x v="8"/>
    <x v="5"/>
    <x v="2"/>
    <x v="4"/>
    <x v="0"/>
    <x v="4"/>
    <x v="2"/>
    <x v="0"/>
    <x v="7"/>
    <x v="1"/>
    <x v="1"/>
    <x v="1"/>
    <x v="1"/>
  </r>
  <r>
    <x v="359"/>
    <x v="0"/>
    <x v="1"/>
    <x v="2"/>
    <x v="3"/>
    <x v="0"/>
    <x v="2"/>
    <x v="0"/>
    <x v="4"/>
    <x v="4"/>
    <x v="1"/>
    <x v="25"/>
    <x v="2"/>
    <x v="0"/>
    <x v="1"/>
    <x v="0"/>
  </r>
  <r>
    <x v="360"/>
    <x v="1"/>
    <x v="1"/>
    <x v="12"/>
    <x v="3"/>
    <x v="4"/>
    <x v="4"/>
    <x v="0"/>
    <x v="0"/>
    <x v="1"/>
    <x v="1"/>
    <x v="28"/>
    <x v="0"/>
    <x v="1"/>
    <x v="2"/>
    <x v="0"/>
  </r>
  <r>
    <x v="361"/>
    <x v="1"/>
    <x v="0"/>
    <x v="1"/>
    <x v="1"/>
    <x v="1"/>
    <x v="1"/>
    <x v="1"/>
    <x v="2"/>
    <x v="0"/>
    <x v="0"/>
    <x v="40"/>
    <x v="2"/>
    <x v="1"/>
    <x v="0"/>
    <x v="1"/>
  </r>
  <r>
    <x v="362"/>
    <x v="0"/>
    <x v="1"/>
    <x v="0"/>
    <x v="0"/>
    <x v="0"/>
    <x v="0"/>
    <x v="0"/>
    <x v="1"/>
    <x v="0"/>
    <x v="0"/>
    <x v="6"/>
    <x v="2"/>
    <x v="1"/>
    <x v="0"/>
    <x v="0"/>
  </r>
  <r>
    <x v="363"/>
    <x v="0"/>
    <x v="0"/>
    <x v="0"/>
    <x v="4"/>
    <x v="0"/>
    <x v="4"/>
    <x v="0"/>
    <x v="2"/>
    <x v="0"/>
    <x v="1"/>
    <x v="29"/>
    <x v="1"/>
    <x v="1"/>
    <x v="0"/>
    <x v="0"/>
  </r>
  <r>
    <x v="364"/>
    <x v="1"/>
    <x v="0"/>
    <x v="4"/>
    <x v="4"/>
    <x v="2"/>
    <x v="3"/>
    <x v="0"/>
    <x v="1"/>
    <x v="0"/>
    <x v="0"/>
    <x v="13"/>
    <x v="0"/>
    <x v="1"/>
    <x v="0"/>
    <x v="0"/>
  </r>
  <r>
    <x v="365"/>
    <x v="1"/>
    <x v="0"/>
    <x v="0"/>
    <x v="3"/>
    <x v="0"/>
    <x v="1"/>
    <x v="1"/>
    <x v="0"/>
    <x v="0"/>
    <x v="0"/>
    <x v="13"/>
    <x v="0"/>
    <x v="1"/>
    <x v="0"/>
    <x v="0"/>
  </r>
  <r>
    <x v="366"/>
    <x v="0"/>
    <x v="1"/>
    <x v="10"/>
    <x v="0"/>
    <x v="1"/>
    <x v="0"/>
    <x v="0"/>
    <x v="1"/>
    <x v="0"/>
    <x v="1"/>
    <x v="12"/>
    <x v="0"/>
    <x v="1"/>
    <x v="1"/>
    <x v="0"/>
  </r>
  <r>
    <x v="367"/>
    <x v="0"/>
    <x v="0"/>
    <x v="12"/>
    <x v="1"/>
    <x v="1"/>
    <x v="2"/>
    <x v="0"/>
    <x v="4"/>
    <x v="2"/>
    <x v="0"/>
    <x v="5"/>
    <x v="0"/>
    <x v="1"/>
    <x v="2"/>
    <x v="1"/>
  </r>
  <r>
    <x v="368"/>
    <x v="1"/>
    <x v="0"/>
    <x v="1"/>
    <x v="4"/>
    <x v="1"/>
    <x v="1"/>
    <x v="1"/>
    <x v="2"/>
    <x v="2"/>
    <x v="1"/>
    <x v="2"/>
    <x v="1"/>
    <x v="1"/>
    <x v="0"/>
    <x v="0"/>
  </r>
  <r>
    <x v="369"/>
    <x v="1"/>
    <x v="0"/>
    <x v="6"/>
    <x v="4"/>
    <x v="1"/>
    <x v="3"/>
    <x v="1"/>
    <x v="1"/>
    <x v="0"/>
    <x v="0"/>
    <x v="39"/>
    <x v="0"/>
    <x v="1"/>
    <x v="0"/>
    <x v="0"/>
  </r>
  <r>
    <x v="370"/>
    <x v="0"/>
    <x v="0"/>
    <x v="11"/>
    <x v="5"/>
    <x v="0"/>
    <x v="2"/>
    <x v="0"/>
    <x v="1"/>
    <x v="4"/>
    <x v="1"/>
    <x v="30"/>
    <x v="0"/>
    <x v="0"/>
    <x v="1"/>
    <x v="1"/>
  </r>
  <r>
    <x v="371"/>
    <x v="1"/>
    <x v="1"/>
    <x v="2"/>
    <x v="2"/>
    <x v="4"/>
    <x v="4"/>
    <x v="0"/>
    <x v="4"/>
    <x v="0"/>
    <x v="1"/>
    <x v="5"/>
    <x v="0"/>
    <x v="0"/>
    <x v="1"/>
    <x v="1"/>
  </r>
  <r>
    <x v="372"/>
    <x v="0"/>
    <x v="1"/>
    <x v="0"/>
    <x v="0"/>
    <x v="0"/>
    <x v="0"/>
    <x v="0"/>
    <x v="1"/>
    <x v="0"/>
    <x v="0"/>
    <x v="1"/>
    <x v="0"/>
    <x v="1"/>
    <x v="0"/>
    <x v="0"/>
  </r>
  <r>
    <x v="373"/>
    <x v="1"/>
    <x v="1"/>
    <x v="6"/>
    <x v="3"/>
    <x v="2"/>
    <x v="3"/>
    <x v="1"/>
    <x v="1"/>
    <x v="1"/>
    <x v="0"/>
    <x v="25"/>
    <x v="2"/>
    <x v="0"/>
    <x v="0"/>
    <x v="0"/>
  </r>
  <r>
    <x v="374"/>
    <x v="1"/>
    <x v="0"/>
    <x v="2"/>
    <x v="2"/>
    <x v="0"/>
    <x v="2"/>
    <x v="0"/>
    <x v="3"/>
    <x v="3"/>
    <x v="1"/>
    <x v="13"/>
    <x v="0"/>
    <x v="0"/>
    <x v="1"/>
    <x v="1"/>
  </r>
  <r>
    <x v="375"/>
    <x v="0"/>
    <x v="0"/>
    <x v="0"/>
    <x v="0"/>
    <x v="0"/>
    <x v="0"/>
    <x v="0"/>
    <x v="1"/>
    <x v="0"/>
    <x v="0"/>
    <x v="47"/>
    <x v="1"/>
    <x v="0"/>
    <x v="0"/>
    <x v="0"/>
  </r>
  <r>
    <x v="376"/>
    <x v="0"/>
    <x v="1"/>
    <x v="6"/>
    <x v="0"/>
    <x v="0"/>
    <x v="1"/>
    <x v="0"/>
    <x v="0"/>
    <x v="0"/>
    <x v="0"/>
    <x v="46"/>
    <x v="1"/>
    <x v="1"/>
    <x v="0"/>
    <x v="0"/>
  </r>
  <r>
    <x v="377"/>
    <x v="0"/>
    <x v="1"/>
    <x v="12"/>
    <x v="1"/>
    <x v="1"/>
    <x v="2"/>
    <x v="1"/>
    <x v="4"/>
    <x v="2"/>
    <x v="0"/>
    <x v="36"/>
    <x v="0"/>
    <x v="1"/>
    <x v="2"/>
    <x v="1"/>
  </r>
  <r>
    <x v="378"/>
    <x v="0"/>
    <x v="1"/>
    <x v="1"/>
    <x v="1"/>
    <x v="1"/>
    <x v="1"/>
    <x v="1"/>
    <x v="2"/>
    <x v="2"/>
    <x v="1"/>
    <x v="16"/>
    <x v="1"/>
    <x v="0"/>
    <x v="0"/>
    <x v="1"/>
  </r>
  <r>
    <x v="379"/>
    <x v="0"/>
    <x v="1"/>
    <x v="10"/>
    <x v="1"/>
    <x v="0"/>
    <x v="2"/>
    <x v="0"/>
    <x v="2"/>
    <x v="2"/>
    <x v="1"/>
    <x v="1"/>
    <x v="0"/>
    <x v="0"/>
    <x v="1"/>
    <x v="1"/>
  </r>
  <r>
    <x v="380"/>
    <x v="1"/>
    <x v="1"/>
    <x v="3"/>
    <x v="3"/>
    <x v="0"/>
    <x v="2"/>
    <x v="1"/>
    <x v="4"/>
    <x v="4"/>
    <x v="1"/>
    <x v="25"/>
    <x v="2"/>
    <x v="1"/>
    <x v="1"/>
    <x v="0"/>
  </r>
  <r>
    <x v="381"/>
    <x v="0"/>
    <x v="0"/>
    <x v="1"/>
    <x v="4"/>
    <x v="1"/>
    <x v="1"/>
    <x v="0"/>
    <x v="2"/>
    <x v="2"/>
    <x v="1"/>
    <x v="45"/>
    <x v="1"/>
    <x v="0"/>
    <x v="0"/>
    <x v="0"/>
  </r>
  <r>
    <x v="382"/>
    <x v="0"/>
    <x v="1"/>
    <x v="2"/>
    <x v="5"/>
    <x v="1"/>
    <x v="2"/>
    <x v="0"/>
    <x v="2"/>
    <x v="4"/>
    <x v="0"/>
    <x v="39"/>
    <x v="0"/>
    <x v="0"/>
    <x v="1"/>
    <x v="1"/>
  </r>
  <r>
    <x v="383"/>
    <x v="0"/>
    <x v="1"/>
    <x v="0"/>
    <x v="3"/>
    <x v="4"/>
    <x v="1"/>
    <x v="0"/>
    <x v="0"/>
    <x v="0"/>
    <x v="0"/>
    <x v="34"/>
    <x v="0"/>
    <x v="1"/>
    <x v="0"/>
    <x v="0"/>
  </r>
  <r>
    <x v="384"/>
    <x v="1"/>
    <x v="0"/>
    <x v="4"/>
    <x v="3"/>
    <x v="1"/>
    <x v="3"/>
    <x v="1"/>
    <x v="1"/>
    <x v="0"/>
    <x v="1"/>
    <x v="26"/>
    <x v="2"/>
    <x v="1"/>
    <x v="0"/>
    <x v="0"/>
  </r>
  <r>
    <x v="385"/>
    <x v="1"/>
    <x v="1"/>
    <x v="1"/>
    <x v="1"/>
    <x v="1"/>
    <x v="1"/>
    <x v="0"/>
    <x v="0"/>
    <x v="0"/>
    <x v="0"/>
    <x v="1"/>
    <x v="0"/>
    <x v="0"/>
    <x v="0"/>
    <x v="1"/>
  </r>
  <r>
    <x v="386"/>
    <x v="1"/>
    <x v="0"/>
    <x v="7"/>
    <x v="3"/>
    <x v="3"/>
    <x v="2"/>
    <x v="0"/>
    <x v="3"/>
    <x v="4"/>
    <x v="1"/>
    <x v="17"/>
    <x v="2"/>
    <x v="1"/>
    <x v="2"/>
    <x v="0"/>
  </r>
  <r>
    <x v="387"/>
    <x v="1"/>
    <x v="0"/>
    <x v="6"/>
    <x v="3"/>
    <x v="3"/>
    <x v="3"/>
    <x v="1"/>
    <x v="2"/>
    <x v="3"/>
    <x v="0"/>
    <x v="17"/>
    <x v="2"/>
    <x v="1"/>
    <x v="0"/>
    <x v="0"/>
  </r>
  <r>
    <x v="388"/>
    <x v="0"/>
    <x v="0"/>
    <x v="1"/>
    <x v="0"/>
    <x v="0"/>
    <x v="1"/>
    <x v="0"/>
    <x v="0"/>
    <x v="0"/>
    <x v="0"/>
    <x v="46"/>
    <x v="1"/>
    <x v="0"/>
    <x v="0"/>
    <x v="0"/>
  </r>
  <r>
    <x v="389"/>
    <x v="0"/>
    <x v="0"/>
    <x v="2"/>
    <x v="3"/>
    <x v="0"/>
    <x v="2"/>
    <x v="0"/>
    <x v="1"/>
    <x v="3"/>
    <x v="1"/>
    <x v="3"/>
    <x v="0"/>
    <x v="1"/>
    <x v="1"/>
    <x v="0"/>
  </r>
  <r>
    <x v="390"/>
    <x v="1"/>
    <x v="1"/>
    <x v="3"/>
    <x v="3"/>
    <x v="0"/>
    <x v="2"/>
    <x v="1"/>
    <x v="1"/>
    <x v="2"/>
    <x v="1"/>
    <x v="13"/>
    <x v="0"/>
    <x v="0"/>
    <x v="1"/>
    <x v="0"/>
  </r>
  <r>
    <x v="391"/>
    <x v="1"/>
    <x v="0"/>
    <x v="3"/>
    <x v="3"/>
    <x v="0"/>
    <x v="2"/>
    <x v="1"/>
    <x v="1"/>
    <x v="0"/>
    <x v="1"/>
    <x v="3"/>
    <x v="0"/>
    <x v="1"/>
    <x v="1"/>
    <x v="0"/>
  </r>
  <r>
    <x v="392"/>
    <x v="1"/>
    <x v="1"/>
    <x v="6"/>
    <x v="0"/>
    <x v="0"/>
    <x v="1"/>
    <x v="1"/>
    <x v="0"/>
    <x v="0"/>
    <x v="0"/>
    <x v="36"/>
    <x v="0"/>
    <x v="0"/>
    <x v="0"/>
    <x v="0"/>
  </r>
  <r>
    <x v="393"/>
    <x v="0"/>
    <x v="0"/>
    <x v="4"/>
    <x v="3"/>
    <x v="3"/>
    <x v="3"/>
    <x v="0"/>
    <x v="2"/>
    <x v="3"/>
    <x v="0"/>
    <x v="21"/>
    <x v="2"/>
    <x v="0"/>
    <x v="0"/>
    <x v="0"/>
  </r>
  <r>
    <x v="394"/>
    <x v="0"/>
    <x v="0"/>
    <x v="0"/>
    <x v="3"/>
    <x v="0"/>
    <x v="1"/>
    <x v="0"/>
    <x v="0"/>
    <x v="0"/>
    <x v="0"/>
    <x v="13"/>
    <x v="0"/>
    <x v="1"/>
    <x v="0"/>
    <x v="0"/>
  </r>
  <r>
    <x v="395"/>
    <x v="0"/>
    <x v="1"/>
    <x v="1"/>
    <x v="0"/>
    <x v="0"/>
    <x v="1"/>
    <x v="0"/>
    <x v="0"/>
    <x v="0"/>
    <x v="0"/>
    <x v="13"/>
    <x v="0"/>
    <x v="1"/>
    <x v="0"/>
    <x v="0"/>
  </r>
  <r>
    <x v="396"/>
    <x v="1"/>
    <x v="1"/>
    <x v="10"/>
    <x v="4"/>
    <x v="0"/>
    <x v="2"/>
    <x v="0"/>
    <x v="1"/>
    <x v="1"/>
    <x v="1"/>
    <x v="13"/>
    <x v="0"/>
    <x v="1"/>
    <x v="1"/>
    <x v="0"/>
  </r>
  <r>
    <x v="397"/>
    <x v="0"/>
    <x v="0"/>
    <x v="4"/>
    <x v="4"/>
    <x v="3"/>
    <x v="1"/>
    <x v="0"/>
    <x v="2"/>
    <x v="2"/>
    <x v="1"/>
    <x v="7"/>
    <x v="1"/>
    <x v="0"/>
    <x v="0"/>
    <x v="0"/>
  </r>
  <r>
    <x v="398"/>
    <x v="1"/>
    <x v="1"/>
    <x v="1"/>
    <x v="0"/>
    <x v="0"/>
    <x v="1"/>
    <x v="0"/>
    <x v="1"/>
    <x v="3"/>
    <x v="0"/>
    <x v="32"/>
    <x v="0"/>
    <x v="1"/>
    <x v="0"/>
    <x v="0"/>
  </r>
  <r>
    <x v="399"/>
    <x v="1"/>
    <x v="0"/>
    <x v="0"/>
    <x v="4"/>
    <x v="0"/>
    <x v="4"/>
    <x v="1"/>
    <x v="1"/>
    <x v="2"/>
    <x v="1"/>
    <x v="39"/>
    <x v="0"/>
    <x v="1"/>
    <x v="0"/>
    <x v="0"/>
  </r>
  <r>
    <x v="400"/>
    <x v="1"/>
    <x v="0"/>
    <x v="15"/>
    <x v="1"/>
    <x v="0"/>
    <x v="4"/>
    <x v="0"/>
    <x v="3"/>
    <x v="4"/>
    <x v="0"/>
    <x v="39"/>
    <x v="0"/>
    <x v="0"/>
    <x v="2"/>
    <x v="1"/>
  </r>
  <r>
    <x v="401"/>
    <x v="0"/>
    <x v="0"/>
    <x v="0"/>
    <x v="0"/>
    <x v="0"/>
    <x v="1"/>
    <x v="0"/>
    <x v="0"/>
    <x v="0"/>
    <x v="0"/>
    <x v="48"/>
    <x v="1"/>
    <x v="0"/>
    <x v="0"/>
    <x v="0"/>
  </r>
  <r>
    <x v="402"/>
    <x v="0"/>
    <x v="1"/>
    <x v="4"/>
    <x v="0"/>
    <x v="4"/>
    <x v="3"/>
    <x v="0"/>
    <x v="0"/>
    <x v="0"/>
    <x v="0"/>
    <x v="20"/>
    <x v="0"/>
    <x v="0"/>
    <x v="0"/>
    <x v="0"/>
  </r>
  <r>
    <x v="403"/>
    <x v="0"/>
    <x v="1"/>
    <x v="6"/>
    <x v="0"/>
    <x v="4"/>
    <x v="1"/>
    <x v="0"/>
    <x v="0"/>
    <x v="0"/>
    <x v="0"/>
    <x v="20"/>
    <x v="0"/>
    <x v="0"/>
    <x v="0"/>
    <x v="0"/>
  </r>
  <r>
    <x v="404"/>
    <x v="0"/>
    <x v="1"/>
    <x v="1"/>
    <x v="1"/>
    <x v="2"/>
    <x v="0"/>
    <x v="0"/>
    <x v="2"/>
    <x v="2"/>
    <x v="1"/>
    <x v="9"/>
    <x v="0"/>
    <x v="1"/>
    <x v="0"/>
    <x v="1"/>
  </r>
  <r>
    <x v="405"/>
    <x v="0"/>
    <x v="0"/>
    <x v="1"/>
    <x v="3"/>
    <x v="0"/>
    <x v="1"/>
    <x v="0"/>
    <x v="0"/>
    <x v="0"/>
    <x v="0"/>
    <x v="34"/>
    <x v="0"/>
    <x v="1"/>
    <x v="0"/>
    <x v="0"/>
  </r>
  <r>
    <x v="406"/>
    <x v="0"/>
    <x v="0"/>
    <x v="0"/>
    <x v="0"/>
    <x v="0"/>
    <x v="0"/>
    <x v="0"/>
    <x v="0"/>
    <x v="0"/>
    <x v="0"/>
    <x v="3"/>
    <x v="0"/>
    <x v="0"/>
    <x v="0"/>
    <x v="0"/>
  </r>
  <r>
    <x v="407"/>
    <x v="1"/>
    <x v="0"/>
    <x v="8"/>
    <x v="4"/>
    <x v="0"/>
    <x v="2"/>
    <x v="1"/>
    <x v="0"/>
    <x v="0"/>
    <x v="1"/>
    <x v="4"/>
    <x v="0"/>
    <x v="1"/>
    <x v="1"/>
    <x v="0"/>
  </r>
  <r>
    <x v="408"/>
    <x v="1"/>
    <x v="0"/>
    <x v="0"/>
    <x v="4"/>
    <x v="1"/>
    <x v="1"/>
    <x v="0"/>
    <x v="0"/>
    <x v="0"/>
    <x v="0"/>
    <x v="6"/>
    <x v="2"/>
    <x v="0"/>
    <x v="0"/>
    <x v="0"/>
  </r>
  <r>
    <x v="409"/>
    <x v="0"/>
    <x v="0"/>
    <x v="12"/>
    <x v="1"/>
    <x v="1"/>
    <x v="2"/>
    <x v="0"/>
    <x v="3"/>
    <x v="0"/>
    <x v="0"/>
    <x v="31"/>
    <x v="0"/>
    <x v="0"/>
    <x v="2"/>
    <x v="1"/>
  </r>
  <r>
    <x v="410"/>
    <x v="0"/>
    <x v="0"/>
    <x v="6"/>
    <x v="4"/>
    <x v="1"/>
    <x v="3"/>
    <x v="0"/>
    <x v="1"/>
    <x v="0"/>
    <x v="0"/>
    <x v="30"/>
    <x v="0"/>
    <x v="1"/>
    <x v="0"/>
    <x v="0"/>
  </r>
  <r>
    <x v="411"/>
    <x v="0"/>
    <x v="1"/>
    <x v="3"/>
    <x v="2"/>
    <x v="1"/>
    <x v="0"/>
    <x v="0"/>
    <x v="2"/>
    <x v="2"/>
    <x v="1"/>
    <x v="1"/>
    <x v="0"/>
    <x v="0"/>
    <x v="1"/>
    <x v="1"/>
  </r>
  <r>
    <x v="412"/>
    <x v="1"/>
    <x v="1"/>
    <x v="0"/>
    <x v="4"/>
    <x v="1"/>
    <x v="1"/>
    <x v="0"/>
    <x v="0"/>
    <x v="0"/>
    <x v="0"/>
    <x v="17"/>
    <x v="2"/>
    <x v="0"/>
    <x v="0"/>
    <x v="0"/>
  </r>
  <r>
    <x v="413"/>
    <x v="1"/>
    <x v="0"/>
    <x v="1"/>
    <x v="4"/>
    <x v="1"/>
    <x v="1"/>
    <x v="1"/>
    <x v="2"/>
    <x v="2"/>
    <x v="1"/>
    <x v="41"/>
    <x v="1"/>
    <x v="0"/>
    <x v="0"/>
    <x v="0"/>
  </r>
  <r>
    <x v="414"/>
    <x v="0"/>
    <x v="0"/>
    <x v="0"/>
    <x v="3"/>
    <x v="4"/>
    <x v="1"/>
    <x v="0"/>
    <x v="0"/>
    <x v="0"/>
    <x v="0"/>
    <x v="11"/>
    <x v="2"/>
    <x v="1"/>
    <x v="0"/>
    <x v="0"/>
  </r>
  <r>
    <x v="415"/>
    <x v="0"/>
    <x v="0"/>
    <x v="2"/>
    <x v="2"/>
    <x v="4"/>
    <x v="4"/>
    <x v="0"/>
    <x v="4"/>
    <x v="0"/>
    <x v="1"/>
    <x v="8"/>
    <x v="0"/>
    <x v="0"/>
    <x v="1"/>
    <x v="1"/>
  </r>
  <r>
    <x v="416"/>
    <x v="1"/>
    <x v="1"/>
    <x v="10"/>
    <x v="4"/>
    <x v="0"/>
    <x v="2"/>
    <x v="1"/>
    <x v="1"/>
    <x v="0"/>
    <x v="1"/>
    <x v="34"/>
    <x v="0"/>
    <x v="1"/>
    <x v="1"/>
    <x v="0"/>
  </r>
  <r>
    <x v="417"/>
    <x v="1"/>
    <x v="0"/>
    <x v="1"/>
    <x v="4"/>
    <x v="1"/>
    <x v="1"/>
    <x v="1"/>
    <x v="2"/>
    <x v="2"/>
    <x v="1"/>
    <x v="41"/>
    <x v="1"/>
    <x v="0"/>
    <x v="0"/>
    <x v="0"/>
  </r>
  <r>
    <x v="418"/>
    <x v="0"/>
    <x v="1"/>
    <x v="1"/>
    <x v="0"/>
    <x v="0"/>
    <x v="0"/>
    <x v="0"/>
    <x v="2"/>
    <x v="0"/>
    <x v="0"/>
    <x v="3"/>
    <x v="0"/>
    <x v="1"/>
    <x v="0"/>
    <x v="0"/>
  </r>
  <r>
    <x v="419"/>
    <x v="1"/>
    <x v="1"/>
    <x v="4"/>
    <x v="4"/>
    <x v="1"/>
    <x v="3"/>
    <x v="0"/>
    <x v="1"/>
    <x v="0"/>
    <x v="0"/>
    <x v="36"/>
    <x v="0"/>
    <x v="1"/>
    <x v="0"/>
    <x v="0"/>
  </r>
  <r>
    <x v="420"/>
    <x v="0"/>
    <x v="0"/>
    <x v="11"/>
    <x v="4"/>
    <x v="0"/>
    <x v="4"/>
    <x v="0"/>
    <x v="3"/>
    <x v="4"/>
    <x v="0"/>
    <x v="14"/>
    <x v="1"/>
    <x v="0"/>
    <x v="1"/>
    <x v="0"/>
  </r>
  <r>
    <x v="421"/>
    <x v="0"/>
    <x v="1"/>
    <x v="4"/>
    <x v="4"/>
    <x v="1"/>
    <x v="3"/>
    <x v="0"/>
    <x v="0"/>
    <x v="3"/>
    <x v="0"/>
    <x v="36"/>
    <x v="0"/>
    <x v="0"/>
    <x v="0"/>
    <x v="0"/>
  </r>
  <r>
    <x v="422"/>
    <x v="1"/>
    <x v="1"/>
    <x v="15"/>
    <x v="3"/>
    <x v="1"/>
    <x v="4"/>
    <x v="1"/>
    <x v="4"/>
    <x v="4"/>
    <x v="1"/>
    <x v="21"/>
    <x v="2"/>
    <x v="1"/>
    <x v="2"/>
    <x v="0"/>
  </r>
  <r>
    <x v="423"/>
    <x v="1"/>
    <x v="1"/>
    <x v="1"/>
    <x v="3"/>
    <x v="2"/>
    <x v="3"/>
    <x v="0"/>
    <x v="1"/>
    <x v="1"/>
    <x v="0"/>
    <x v="17"/>
    <x v="2"/>
    <x v="1"/>
    <x v="0"/>
    <x v="0"/>
  </r>
  <r>
    <x v="424"/>
    <x v="1"/>
    <x v="0"/>
    <x v="4"/>
    <x v="1"/>
    <x v="3"/>
    <x v="3"/>
    <x v="0"/>
    <x v="2"/>
    <x v="0"/>
    <x v="0"/>
    <x v="1"/>
    <x v="0"/>
    <x v="0"/>
    <x v="0"/>
    <x v="1"/>
  </r>
  <r>
    <x v="425"/>
    <x v="0"/>
    <x v="1"/>
    <x v="0"/>
    <x v="4"/>
    <x v="0"/>
    <x v="4"/>
    <x v="0"/>
    <x v="2"/>
    <x v="0"/>
    <x v="1"/>
    <x v="41"/>
    <x v="1"/>
    <x v="0"/>
    <x v="0"/>
    <x v="0"/>
  </r>
  <r>
    <x v="426"/>
    <x v="1"/>
    <x v="1"/>
    <x v="1"/>
    <x v="3"/>
    <x v="1"/>
    <x v="1"/>
    <x v="1"/>
    <x v="1"/>
    <x v="1"/>
    <x v="0"/>
    <x v="26"/>
    <x v="2"/>
    <x v="0"/>
    <x v="0"/>
    <x v="0"/>
  </r>
  <r>
    <x v="427"/>
    <x v="1"/>
    <x v="0"/>
    <x v="8"/>
    <x v="0"/>
    <x v="4"/>
    <x v="4"/>
    <x v="0"/>
    <x v="0"/>
    <x v="0"/>
    <x v="1"/>
    <x v="4"/>
    <x v="0"/>
    <x v="1"/>
    <x v="1"/>
    <x v="0"/>
  </r>
  <r>
    <x v="428"/>
    <x v="0"/>
    <x v="1"/>
    <x v="15"/>
    <x v="5"/>
    <x v="0"/>
    <x v="4"/>
    <x v="0"/>
    <x v="4"/>
    <x v="1"/>
    <x v="1"/>
    <x v="28"/>
    <x v="0"/>
    <x v="0"/>
    <x v="2"/>
    <x v="1"/>
  </r>
  <r>
    <x v="429"/>
    <x v="1"/>
    <x v="0"/>
    <x v="1"/>
    <x v="3"/>
    <x v="1"/>
    <x v="1"/>
    <x v="0"/>
    <x v="1"/>
    <x v="1"/>
    <x v="0"/>
    <x v="23"/>
    <x v="2"/>
    <x v="0"/>
    <x v="0"/>
    <x v="0"/>
  </r>
  <r>
    <x v="430"/>
    <x v="1"/>
    <x v="0"/>
    <x v="1"/>
    <x v="1"/>
    <x v="2"/>
    <x v="0"/>
    <x v="0"/>
    <x v="2"/>
    <x v="2"/>
    <x v="1"/>
    <x v="10"/>
    <x v="0"/>
    <x v="0"/>
    <x v="0"/>
    <x v="1"/>
  </r>
  <r>
    <x v="431"/>
    <x v="1"/>
    <x v="1"/>
    <x v="6"/>
    <x v="3"/>
    <x v="1"/>
    <x v="3"/>
    <x v="0"/>
    <x v="0"/>
    <x v="0"/>
    <x v="1"/>
    <x v="26"/>
    <x v="2"/>
    <x v="1"/>
    <x v="0"/>
    <x v="0"/>
  </r>
  <r>
    <x v="432"/>
    <x v="0"/>
    <x v="0"/>
    <x v="15"/>
    <x v="3"/>
    <x v="2"/>
    <x v="4"/>
    <x v="0"/>
    <x v="4"/>
    <x v="4"/>
    <x v="1"/>
    <x v="17"/>
    <x v="2"/>
    <x v="1"/>
    <x v="2"/>
    <x v="0"/>
  </r>
  <r>
    <x v="433"/>
    <x v="1"/>
    <x v="0"/>
    <x v="1"/>
    <x v="1"/>
    <x v="1"/>
    <x v="1"/>
    <x v="1"/>
    <x v="1"/>
    <x v="0"/>
    <x v="0"/>
    <x v="22"/>
    <x v="2"/>
    <x v="0"/>
    <x v="0"/>
    <x v="1"/>
  </r>
  <r>
    <x v="434"/>
    <x v="0"/>
    <x v="0"/>
    <x v="1"/>
    <x v="1"/>
    <x v="2"/>
    <x v="0"/>
    <x v="0"/>
    <x v="2"/>
    <x v="2"/>
    <x v="1"/>
    <x v="39"/>
    <x v="0"/>
    <x v="1"/>
    <x v="0"/>
    <x v="1"/>
  </r>
  <r>
    <x v="435"/>
    <x v="1"/>
    <x v="0"/>
    <x v="4"/>
    <x v="4"/>
    <x v="0"/>
    <x v="1"/>
    <x v="1"/>
    <x v="1"/>
    <x v="1"/>
    <x v="0"/>
    <x v="35"/>
    <x v="1"/>
    <x v="0"/>
    <x v="0"/>
    <x v="0"/>
  </r>
  <r>
    <x v="436"/>
    <x v="0"/>
    <x v="0"/>
    <x v="2"/>
    <x v="4"/>
    <x v="2"/>
    <x v="0"/>
    <x v="0"/>
    <x v="2"/>
    <x v="2"/>
    <x v="1"/>
    <x v="5"/>
    <x v="0"/>
    <x v="1"/>
    <x v="1"/>
    <x v="0"/>
  </r>
  <r>
    <x v="437"/>
    <x v="1"/>
    <x v="0"/>
    <x v="1"/>
    <x v="1"/>
    <x v="1"/>
    <x v="1"/>
    <x v="0"/>
    <x v="2"/>
    <x v="0"/>
    <x v="0"/>
    <x v="26"/>
    <x v="2"/>
    <x v="1"/>
    <x v="0"/>
    <x v="1"/>
  </r>
  <r>
    <x v="438"/>
    <x v="1"/>
    <x v="0"/>
    <x v="2"/>
    <x v="3"/>
    <x v="4"/>
    <x v="0"/>
    <x v="1"/>
    <x v="0"/>
    <x v="0"/>
    <x v="0"/>
    <x v="8"/>
    <x v="0"/>
    <x v="1"/>
    <x v="1"/>
    <x v="0"/>
  </r>
  <r>
    <x v="439"/>
    <x v="0"/>
    <x v="1"/>
    <x v="3"/>
    <x v="2"/>
    <x v="1"/>
    <x v="0"/>
    <x v="0"/>
    <x v="2"/>
    <x v="0"/>
    <x v="1"/>
    <x v="20"/>
    <x v="0"/>
    <x v="0"/>
    <x v="1"/>
    <x v="1"/>
  </r>
  <r>
    <x v="440"/>
    <x v="1"/>
    <x v="1"/>
    <x v="8"/>
    <x v="3"/>
    <x v="0"/>
    <x v="2"/>
    <x v="1"/>
    <x v="4"/>
    <x v="4"/>
    <x v="1"/>
    <x v="17"/>
    <x v="2"/>
    <x v="1"/>
    <x v="1"/>
    <x v="0"/>
  </r>
  <r>
    <x v="441"/>
    <x v="0"/>
    <x v="1"/>
    <x v="3"/>
    <x v="4"/>
    <x v="1"/>
    <x v="0"/>
    <x v="0"/>
    <x v="2"/>
    <x v="2"/>
    <x v="1"/>
    <x v="31"/>
    <x v="0"/>
    <x v="1"/>
    <x v="1"/>
    <x v="0"/>
  </r>
  <r>
    <x v="442"/>
    <x v="1"/>
    <x v="1"/>
    <x v="2"/>
    <x v="5"/>
    <x v="4"/>
    <x v="4"/>
    <x v="0"/>
    <x v="0"/>
    <x v="0"/>
    <x v="1"/>
    <x v="4"/>
    <x v="0"/>
    <x v="1"/>
    <x v="1"/>
    <x v="1"/>
  </r>
  <r>
    <x v="443"/>
    <x v="0"/>
    <x v="0"/>
    <x v="0"/>
    <x v="0"/>
    <x v="0"/>
    <x v="0"/>
    <x v="0"/>
    <x v="1"/>
    <x v="0"/>
    <x v="0"/>
    <x v="1"/>
    <x v="0"/>
    <x v="1"/>
    <x v="0"/>
    <x v="0"/>
  </r>
  <r>
    <x v="444"/>
    <x v="1"/>
    <x v="1"/>
    <x v="1"/>
    <x v="3"/>
    <x v="2"/>
    <x v="3"/>
    <x v="1"/>
    <x v="1"/>
    <x v="3"/>
    <x v="0"/>
    <x v="21"/>
    <x v="2"/>
    <x v="0"/>
    <x v="0"/>
    <x v="0"/>
  </r>
  <r>
    <x v="445"/>
    <x v="0"/>
    <x v="0"/>
    <x v="0"/>
    <x v="0"/>
    <x v="0"/>
    <x v="0"/>
    <x v="0"/>
    <x v="1"/>
    <x v="3"/>
    <x v="0"/>
    <x v="21"/>
    <x v="2"/>
    <x v="1"/>
    <x v="0"/>
    <x v="0"/>
  </r>
  <r>
    <x v="446"/>
    <x v="0"/>
    <x v="0"/>
    <x v="12"/>
    <x v="3"/>
    <x v="4"/>
    <x v="4"/>
    <x v="0"/>
    <x v="1"/>
    <x v="4"/>
    <x v="1"/>
    <x v="28"/>
    <x v="0"/>
    <x v="0"/>
    <x v="2"/>
    <x v="0"/>
  </r>
  <r>
    <x v="447"/>
    <x v="0"/>
    <x v="0"/>
    <x v="0"/>
    <x v="0"/>
    <x v="0"/>
    <x v="0"/>
    <x v="0"/>
    <x v="0"/>
    <x v="3"/>
    <x v="0"/>
    <x v="21"/>
    <x v="2"/>
    <x v="1"/>
    <x v="0"/>
    <x v="0"/>
  </r>
  <r>
    <x v="448"/>
    <x v="0"/>
    <x v="0"/>
    <x v="1"/>
    <x v="1"/>
    <x v="4"/>
    <x v="1"/>
    <x v="0"/>
    <x v="0"/>
    <x v="0"/>
    <x v="0"/>
    <x v="30"/>
    <x v="0"/>
    <x v="0"/>
    <x v="0"/>
    <x v="1"/>
  </r>
  <r>
    <x v="449"/>
    <x v="0"/>
    <x v="0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  <x v="0"/>
    <x v="0"/>
  </r>
  <r>
    <x v="451"/>
    <x v="0"/>
    <x v="0"/>
    <x v="0"/>
    <x v="0"/>
    <x v="0"/>
    <x v="0"/>
    <x v="0"/>
    <x v="0"/>
    <x v="0"/>
    <x v="0"/>
    <x v="3"/>
    <x v="0"/>
    <x v="0"/>
    <x v="0"/>
    <x v="0"/>
  </r>
  <r>
    <x v="452"/>
    <x v="0"/>
    <x v="0"/>
    <x v="1"/>
    <x v="4"/>
    <x v="1"/>
    <x v="1"/>
    <x v="1"/>
    <x v="2"/>
    <x v="0"/>
    <x v="1"/>
    <x v="45"/>
    <x v="1"/>
    <x v="0"/>
    <x v="0"/>
    <x v="0"/>
  </r>
  <r>
    <x v="453"/>
    <x v="1"/>
    <x v="0"/>
    <x v="3"/>
    <x v="2"/>
    <x v="1"/>
    <x v="0"/>
    <x v="0"/>
    <x v="2"/>
    <x v="2"/>
    <x v="1"/>
    <x v="12"/>
    <x v="0"/>
    <x v="0"/>
    <x v="1"/>
    <x v="1"/>
  </r>
  <r>
    <x v="454"/>
    <x v="1"/>
    <x v="1"/>
    <x v="1"/>
    <x v="3"/>
    <x v="2"/>
    <x v="3"/>
    <x v="1"/>
    <x v="1"/>
    <x v="1"/>
    <x v="0"/>
    <x v="17"/>
    <x v="2"/>
    <x v="0"/>
    <x v="0"/>
    <x v="0"/>
  </r>
  <r>
    <x v="455"/>
    <x v="0"/>
    <x v="0"/>
    <x v="2"/>
    <x v="5"/>
    <x v="1"/>
    <x v="2"/>
    <x v="1"/>
    <x v="1"/>
    <x v="1"/>
    <x v="0"/>
    <x v="39"/>
    <x v="0"/>
    <x v="1"/>
    <x v="1"/>
    <x v="1"/>
  </r>
  <r>
    <x v="456"/>
    <x v="1"/>
    <x v="1"/>
    <x v="7"/>
    <x v="1"/>
    <x v="2"/>
    <x v="2"/>
    <x v="1"/>
    <x v="3"/>
    <x v="2"/>
    <x v="0"/>
    <x v="5"/>
    <x v="0"/>
    <x v="0"/>
    <x v="2"/>
    <x v="1"/>
  </r>
  <r>
    <x v="457"/>
    <x v="0"/>
    <x v="0"/>
    <x v="6"/>
    <x v="0"/>
    <x v="1"/>
    <x v="3"/>
    <x v="0"/>
    <x v="0"/>
    <x v="0"/>
    <x v="0"/>
    <x v="27"/>
    <x v="1"/>
    <x v="0"/>
    <x v="0"/>
    <x v="0"/>
  </r>
  <r>
    <x v="458"/>
    <x v="0"/>
    <x v="1"/>
    <x v="7"/>
    <x v="3"/>
    <x v="3"/>
    <x v="2"/>
    <x v="0"/>
    <x v="3"/>
    <x v="4"/>
    <x v="1"/>
    <x v="21"/>
    <x v="2"/>
    <x v="1"/>
    <x v="2"/>
    <x v="0"/>
  </r>
  <r>
    <x v="459"/>
    <x v="1"/>
    <x v="0"/>
    <x v="2"/>
    <x v="3"/>
    <x v="0"/>
    <x v="2"/>
    <x v="1"/>
    <x v="4"/>
    <x v="4"/>
    <x v="1"/>
    <x v="6"/>
    <x v="2"/>
    <x v="0"/>
    <x v="1"/>
    <x v="0"/>
  </r>
  <r>
    <x v="460"/>
    <x v="1"/>
    <x v="1"/>
    <x v="6"/>
    <x v="3"/>
    <x v="3"/>
    <x v="3"/>
    <x v="0"/>
    <x v="2"/>
    <x v="3"/>
    <x v="0"/>
    <x v="23"/>
    <x v="2"/>
    <x v="1"/>
    <x v="0"/>
    <x v="0"/>
  </r>
  <r>
    <x v="461"/>
    <x v="0"/>
    <x v="0"/>
    <x v="7"/>
    <x v="0"/>
    <x v="0"/>
    <x v="4"/>
    <x v="0"/>
    <x v="2"/>
    <x v="0"/>
    <x v="1"/>
    <x v="30"/>
    <x v="0"/>
    <x v="1"/>
    <x v="2"/>
    <x v="0"/>
  </r>
  <r>
    <x v="462"/>
    <x v="0"/>
    <x v="0"/>
    <x v="0"/>
    <x v="3"/>
    <x v="0"/>
    <x v="1"/>
    <x v="0"/>
    <x v="0"/>
    <x v="0"/>
    <x v="0"/>
    <x v="32"/>
    <x v="0"/>
    <x v="1"/>
    <x v="0"/>
    <x v="0"/>
  </r>
  <r>
    <x v="463"/>
    <x v="1"/>
    <x v="1"/>
    <x v="6"/>
    <x v="4"/>
    <x v="2"/>
    <x v="3"/>
    <x v="0"/>
    <x v="1"/>
    <x v="0"/>
    <x v="0"/>
    <x v="8"/>
    <x v="0"/>
    <x v="0"/>
    <x v="0"/>
    <x v="0"/>
  </r>
  <r>
    <x v="464"/>
    <x v="1"/>
    <x v="0"/>
    <x v="1"/>
    <x v="1"/>
    <x v="0"/>
    <x v="1"/>
    <x v="0"/>
    <x v="0"/>
    <x v="0"/>
    <x v="0"/>
    <x v="30"/>
    <x v="0"/>
    <x v="1"/>
    <x v="0"/>
    <x v="1"/>
  </r>
  <r>
    <x v="465"/>
    <x v="0"/>
    <x v="1"/>
    <x v="0"/>
    <x v="4"/>
    <x v="0"/>
    <x v="4"/>
    <x v="0"/>
    <x v="2"/>
    <x v="0"/>
    <x v="1"/>
    <x v="27"/>
    <x v="1"/>
    <x v="0"/>
    <x v="0"/>
    <x v="0"/>
  </r>
  <r>
    <x v="466"/>
    <x v="1"/>
    <x v="0"/>
    <x v="1"/>
    <x v="1"/>
    <x v="0"/>
    <x v="1"/>
    <x v="0"/>
    <x v="0"/>
    <x v="0"/>
    <x v="0"/>
    <x v="15"/>
    <x v="0"/>
    <x v="1"/>
    <x v="0"/>
    <x v="1"/>
  </r>
  <r>
    <x v="467"/>
    <x v="1"/>
    <x v="1"/>
    <x v="11"/>
    <x v="0"/>
    <x v="0"/>
    <x v="4"/>
    <x v="1"/>
    <x v="4"/>
    <x v="0"/>
    <x v="1"/>
    <x v="30"/>
    <x v="0"/>
    <x v="1"/>
    <x v="1"/>
    <x v="0"/>
  </r>
  <r>
    <x v="468"/>
    <x v="0"/>
    <x v="0"/>
    <x v="2"/>
    <x v="2"/>
    <x v="4"/>
    <x v="4"/>
    <x v="0"/>
    <x v="4"/>
    <x v="0"/>
    <x v="1"/>
    <x v="8"/>
    <x v="0"/>
    <x v="0"/>
    <x v="1"/>
    <x v="1"/>
  </r>
  <r>
    <x v="469"/>
    <x v="0"/>
    <x v="0"/>
    <x v="1"/>
    <x v="0"/>
    <x v="0"/>
    <x v="1"/>
    <x v="0"/>
    <x v="0"/>
    <x v="0"/>
    <x v="0"/>
    <x v="27"/>
    <x v="1"/>
    <x v="0"/>
    <x v="0"/>
    <x v="0"/>
  </r>
  <r>
    <x v="470"/>
    <x v="1"/>
    <x v="1"/>
    <x v="1"/>
    <x v="3"/>
    <x v="2"/>
    <x v="3"/>
    <x v="1"/>
    <x v="1"/>
    <x v="3"/>
    <x v="0"/>
    <x v="26"/>
    <x v="2"/>
    <x v="0"/>
    <x v="0"/>
    <x v="0"/>
  </r>
  <r>
    <x v="471"/>
    <x v="1"/>
    <x v="1"/>
    <x v="3"/>
    <x v="3"/>
    <x v="0"/>
    <x v="2"/>
    <x v="1"/>
    <x v="2"/>
    <x v="2"/>
    <x v="1"/>
    <x v="1"/>
    <x v="0"/>
    <x v="1"/>
    <x v="1"/>
    <x v="0"/>
  </r>
  <r>
    <x v="472"/>
    <x v="1"/>
    <x v="0"/>
    <x v="0"/>
    <x v="3"/>
    <x v="4"/>
    <x v="1"/>
    <x v="0"/>
    <x v="0"/>
    <x v="0"/>
    <x v="0"/>
    <x v="13"/>
    <x v="0"/>
    <x v="1"/>
    <x v="0"/>
    <x v="0"/>
  </r>
  <r>
    <x v="473"/>
    <x v="0"/>
    <x v="0"/>
    <x v="1"/>
    <x v="3"/>
    <x v="0"/>
    <x v="1"/>
    <x v="0"/>
    <x v="0"/>
    <x v="0"/>
    <x v="0"/>
    <x v="15"/>
    <x v="0"/>
    <x v="1"/>
    <x v="0"/>
    <x v="0"/>
  </r>
  <r>
    <x v="474"/>
    <x v="0"/>
    <x v="0"/>
    <x v="8"/>
    <x v="4"/>
    <x v="0"/>
    <x v="2"/>
    <x v="1"/>
    <x v="0"/>
    <x v="0"/>
    <x v="1"/>
    <x v="4"/>
    <x v="0"/>
    <x v="1"/>
    <x v="1"/>
    <x v="0"/>
  </r>
  <r>
    <x v="475"/>
    <x v="0"/>
    <x v="1"/>
    <x v="6"/>
    <x v="5"/>
    <x v="2"/>
    <x v="0"/>
    <x v="1"/>
    <x v="2"/>
    <x v="3"/>
    <x v="1"/>
    <x v="2"/>
    <x v="1"/>
    <x v="0"/>
    <x v="0"/>
    <x v="1"/>
  </r>
  <r>
    <x v="476"/>
    <x v="1"/>
    <x v="0"/>
    <x v="3"/>
    <x v="3"/>
    <x v="0"/>
    <x v="2"/>
    <x v="0"/>
    <x v="1"/>
    <x v="2"/>
    <x v="1"/>
    <x v="0"/>
    <x v="0"/>
    <x v="1"/>
    <x v="1"/>
    <x v="0"/>
  </r>
  <r>
    <x v="477"/>
    <x v="0"/>
    <x v="1"/>
    <x v="3"/>
    <x v="4"/>
    <x v="2"/>
    <x v="0"/>
    <x v="1"/>
    <x v="2"/>
    <x v="3"/>
    <x v="1"/>
    <x v="5"/>
    <x v="0"/>
    <x v="1"/>
    <x v="1"/>
    <x v="0"/>
  </r>
  <r>
    <x v="478"/>
    <x v="0"/>
    <x v="1"/>
    <x v="1"/>
    <x v="3"/>
    <x v="0"/>
    <x v="1"/>
    <x v="0"/>
    <x v="0"/>
    <x v="0"/>
    <x v="0"/>
    <x v="11"/>
    <x v="2"/>
    <x v="1"/>
    <x v="0"/>
    <x v="0"/>
  </r>
  <r>
    <x v="479"/>
    <x v="0"/>
    <x v="1"/>
    <x v="0"/>
    <x v="0"/>
    <x v="0"/>
    <x v="0"/>
    <x v="0"/>
    <x v="1"/>
    <x v="0"/>
    <x v="0"/>
    <x v="21"/>
    <x v="2"/>
    <x v="1"/>
    <x v="0"/>
    <x v="0"/>
  </r>
  <r>
    <x v="480"/>
    <x v="0"/>
    <x v="0"/>
    <x v="8"/>
    <x v="0"/>
    <x v="0"/>
    <x v="2"/>
    <x v="0"/>
    <x v="1"/>
    <x v="2"/>
    <x v="1"/>
    <x v="30"/>
    <x v="0"/>
    <x v="0"/>
    <x v="1"/>
    <x v="0"/>
  </r>
  <r>
    <x v="481"/>
    <x v="1"/>
    <x v="0"/>
    <x v="0"/>
    <x v="4"/>
    <x v="1"/>
    <x v="1"/>
    <x v="0"/>
    <x v="0"/>
    <x v="3"/>
    <x v="0"/>
    <x v="6"/>
    <x v="2"/>
    <x v="1"/>
    <x v="0"/>
    <x v="0"/>
  </r>
  <r>
    <x v="482"/>
    <x v="1"/>
    <x v="1"/>
    <x v="0"/>
    <x v="3"/>
    <x v="4"/>
    <x v="1"/>
    <x v="1"/>
    <x v="0"/>
    <x v="0"/>
    <x v="0"/>
    <x v="4"/>
    <x v="0"/>
    <x v="1"/>
    <x v="0"/>
    <x v="0"/>
  </r>
  <r>
    <x v="483"/>
    <x v="0"/>
    <x v="1"/>
    <x v="4"/>
    <x v="0"/>
    <x v="4"/>
    <x v="1"/>
    <x v="0"/>
    <x v="0"/>
    <x v="0"/>
    <x v="0"/>
    <x v="43"/>
    <x v="1"/>
    <x v="0"/>
    <x v="0"/>
    <x v="0"/>
  </r>
  <r>
    <x v="484"/>
    <x v="1"/>
    <x v="0"/>
    <x v="1"/>
    <x v="3"/>
    <x v="1"/>
    <x v="1"/>
    <x v="1"/>
    <x v="1"/>
    <x v="1"/>
    <x v="0"/>
    <x v="23"/>
    <x v="2"/>
    <x v="1"/>
    <x v="0"/>
    <x v="0"/>
  </r>
  <r>
    <x v="485"/>
    <x v="1"/>
    <x v="1"/>
    <x v="1"/>
    <x v="4"/>
    <x v="1"/>
    <x v="1"/>
    <x v="0"/>
    <x v="2"/>
    <x v="0"/>
    <x v="0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  <x v="1"/>
    <x v="1"/>
  </r>
  <r>
    <x v="487"/>
    <x v="0"/>
    <x v="1"/>
    <x v="0"/>
    <x v="3"/>
    <x v="0"/>
    <x v="1"/>
    <x v="0"/>
    <x v="0"/>
    <x v="0"/>
    <x v="0"/>
    <x v="32"/>
    <x v="0"/>
    <x v="0"/>
    <x v="0"/>
    <x v="0"/>
  </r>
  <r>
    <x v="488"/>
    <x v="1"/>
    <x v="0"/>
    <x v="4"/>
    <x v="3"/>
    <x v="3"/>
    <x v="3"/>
    <x v="0"/>
    <x v="2"/>
    <x v="3"/>
    <x v="0"/>
    <x v="17"/>
    <x v="2"/>
    <x v="0"/>
    <x v="0"/>
    <x v="0"/>
  </r>
  <r>
    <x v="489"/>
    <x v="0"/>
    <x v="1"/>
    <x v="6"/>
    <x v="3"/>
    <x v="3"/>
    <x v="3"/>
    <x v="0"/>
    <x v="2"/>
    <x v="0"/>
    <x v="0"/>
    <x v="21"/>
    <x v="2"/>
    <x v="0"/>
    <x v="0"/>
    <x v="0"/>
  </r>
  <r>
    <x v="490"/>
    <x v="0"/>
    <x v="1"/>
    <x v="10"/>
    <x v="5"/>
    <x v="0"/>
    <x v="2"/>
    <x v="0"/>
    <x v="0"/>
    <x v="1"/>
    <x v="2"/>
    <x v="30"/>
    <x v="0"/>
    <x v="0"/>
    <x v="1"/>
    <x v="1"/>
  </r>
  <r>
    <x v="491"/>
    <x v="0"/>
    <x v="1"/>
    <x v="3"/>
    <x v="4"/>
    <x v="3"/>
    <x v="0"/>
    <x v="0"/>
    <x v="2"/>
    <x v="2"/>
    <x v="2"/>
    <x v="28"/>
    <x v="0"/>
    <x v="0"/>
    <x v="1"/>
    <x v="0"/>
  </r>
  <r>
    <x v="492"/>
    <x v="1"/>
    <x v="0"/>
    <x v="0"/>
    <x v="1"/>
    <x v="1"/>
    <x v="1"/>
    <x v="0"/>
    <x v="1"/>
    <x v="3"/>
    <x v="2"/>
    <x v="23"/>
    <x v="2"/>
    <x v="1"/>
    <x v="0"/>
    <x v="1"/>
  </r>
  <r>
    <x v="493"/>
    <x v="1"/>
    <x v="1"/>
    <x v="3"/>
    <x v="2"/>
    <x v="0"/>
    <x v="4"/>
    <x v="0"/>
    <x v="4"/>
    <x v="4"/>
    <x v="2"/>
    <x v="2"/>
    <x v="1"/>
    <x v="1"/>
    <x v="1"/>
    <x v="1"/>
  </r>
  <r>
    <x v="494"/>
    <x v="0"/>
    <x v="1"/>
    <x v="3"/>
    <x v="5"/>
    <x v="2"/>
    <x v="2"/>
    <x v="0"/>
    <x v="0"/>
    <x v="2"/>
    <x v="2"/>
    <x v="36"/>
    <x v="0"/>
    <x v="0"/>
    <x v="1"/>
    <x v="1"/>
  </r>
  <r>
    <x v="495"/>
    <x v="0"/>
    <x v="1"/>
    <x v="10"/>
    <x v="4"/>
    <x v="1"/>
    <x v="2"/>
    <x v="0"/>
    <x v="2"/>
    <x v="4"/>
    <x v="2"/>
    <x v="16"/>
    <x v="1"/>
    <x v="0"/>
    <x v="1"/>
    <x v="0"/>
  </r>
  <r>
    <x v="496"/>
    <x v="1"/>
    <x v="0"/>
    <x v="10"/>
    <x v="1"/>
    <x v="0"/>
    <x v="0"/>
    <x v="0"/>
    <x v="1"/>
    <x v="1"/>
    <x v="2"/>
    <x v="8"/>
    <x v="0"/>
    <x v="1"/>
    <x v="1"/>
    <x v="1"/>
  </r>
  <r>
    <x v="497"/>
    <x v="1"/>
    <x v="0"/>
    <x v="3"/>
    <x v="0"/>
    <x v="4"/>
    <x v="2"/>
    <x v="0"/>
    <x v="0"/>
    <x v="1"/>
    <x v="2"/>
    <x v="17"/>
    <x v="2"/>
    <x v="1"/>
    <x v="1"/>
    <x v="0"/>
  </r>
  <r>
    <x v="498"/>
    <x v="0"/>
    <x v="1"/>
    <x v="2"/>
    <x v="0"/>
    <x v="1"/>
    <x v="0"/>
    <x v="0"/>
    <x v="1"/>
    <x v="1"/>
    <x v="2"/>
    <x v="28"/>
    <x v="0"/>
    <x v="1"/>
    <x v="1"/>
    <x v="0"/>
  </r>
  <r>
    <x v="499"/>
    <x v="1"/>
    <x v="0"/>
    <x v="0"/>
    <x v="3"/>
    <x v="2"/>
    <x v="0"/>
    <x v="1"/>
    <x v="2"/>
    <x v="3"/>
    <x v="2"/>
    <x v="23"/>
    <x v="2"/>
    <x v="1"/>
    <x v="0"/>
    <x v="0"/>
  </r>
  <r>
    <x v="500"/>
    <x v="0"/>
    <x v="1"/>
    <x v="10"/>
    <x v="2"/>
    <x v="0"/>
    <x v="2"/>
    <x v="0"/>
    <x v="1"/>
    <x v="1"/>
    <x v="2"/>
    <x v="15"/>
    <x v="0"/>
    <x v="0"/>
    <x v="1"/>
    <x v="1"/>
  </r>
  <r>
    <x v="501"/>
    <x v="0"/>
    <x v="0"/>
    <x v="14"/>
    <x v="3"/>
    <x v="4"/>
    <x v="0"/>
    <x v="0"/>
    <x v="0"/>
    <x v="0"/>
    <x v="2"/>
    <x v="17"/>
    <x v="2"/>
    <x v="0"/>
    <x v="0"/>
    <x v="0"/>
  </r>
  <r>
    <x v="502"/>
    <x v="0"/>
    <x v="1"/>
    <x v="0"/>
    <x v="3"/>
    <x v="1"/>
    <x v="0"/>
    <x v="0"/>
    <x v="1"/>
    <x v="2"/>
    <x v="2"/>
    <x v="19"/>
    <x v="2"/>
    <x v="0"/>
    <x v="0"/>
    <x v="0"/>
  </r>
  <r>
    <x v="503"/>
    <x v="0"/>
    <x v="0"/>
    <x v="12"/>
    <x v="0"/>
    <x v="0"/>
    <x v="4"/>
    <x v="0"/>
    <x v="3"/>
    <x v="1"/>
    <x v="2"/>
    <x v="20"/>
    <x v="0"/>
    <x v="1"/>
    <x v="2"/>
    <x v="0"/>
  </r>
  <r>
    <x v="504"/>
    <x v="0"/>
    <x v="1"/>
    <x v="3"/>
    <x v="4"/>
    <x v="0"/>
    <x v="0"/>
    <x v="0"/>
    <x v="1"/>
    <x v="1"/>
    <x v="2"/>
    <x v="13"/>
    <x v="0"/>
    <x v="1"/>
    <x v="1"/>
    <x v="0"/>
  </r>
  <r>
    <x v="505"/>
    <x v="0"/>
    <x v="1"/>
    <x v="11"/>
    <x v="5"/>
    <x v="1"/>
    <x v="2"/>
    <x v="0"/>
    <x v="3"/>
    <x v="0"/>
    <x v="2"/>
    <x v="8"/>
    <x v="0"/>
    <x v="0"/>
    <x v="1"/>
    <x v="1"/>
  </r>
  <r>
    <x v="506"/>
    <x v="0"/>
    <x v="0"/>
    <x v="3"/>
    <x v="5"/>
    <x v="0"/>
    <x v="2"/>
    <x v="0"/>
    <x v="2"/>
    <x v="1"/>
    <x v="2"/>
    <x v="0"/>
    <x v="0"/>
    <x v="1"/>
    <x v="1"/>
    <x v="1"/>
  </r>
  <r>
    <x v="507"/>
    <x v="0"/>
    <x v="0"/>
    <x v="0"/>
    <x v="0"/>
    <x v="1"/>
    <x v="1"/>
    <x v="0"/>
    <x v="1"/>
    <x v="3"/>
    <x v="2"/>
    <x v="36"/>
    <x v="0"/>
    <x v="1"/>
    <x v="0"/>
    <x v="0"/>
  </r>
  <r>
    <x v="508"/>
    <x v="0"/>
    <x v="1"/>
    <x v="10"/>
    <x v="3"/>
    <x v="1"/>
    <x v="0"/>
    <x v="1"/>
    <x v="2"/>
    <x v="3"/>
    <x v="2"/>
    <x v="19"/>
    <x v="2"/>
    <x v="0"/>
    <x v="1"/>
    <x v="0"/>
  </r>
  <r>
    <x v="509"/>
    <x v="0"/>
    <x v="1"/>
    <x v="2"/>
    <x v="1"/>
    <x v="0"/>
    <x v="2"/>
    <x v="0"/>
    <x v="1"/>
    <x v="1"/>
    <x v="2"/>
    <x v="28"/>
    <x v="0"/>
    <x v="1"/>
    <x v="1"/>
    <x v="1"/>
  </r>
  <r>
    <x v="510"/>
    <x v="1"/>
    <x v="1"/>
    <x v="3"/>
    <x v="3"/>
    <x v="0"/>
    <x v="2"/>
    <x v="1"/>
    <x v="1"/>
    <x v="1"/>
    <x v="2"/>
    <x v="34"/>
    <x v="0"/>
    <x v="1"/>
    <x v="1"/>
    <x v="0"/>
  </r>
  <r>
    <x v="511"/>
    <x v="1"/>
    <x v="1"/>
    <x v="2"/>
    <x v="5"/>
    <x v="0"/>
    <x v="4"/>
    <x v="0"/>
    <x v="0"/>
    <x v="2"/>
    <x v="2"/>
    <x v="29"/>
    <x v="1"/>
    <x v="1"/>
    <x v="1"/>
    <x v="1"/>
  </r>
  <r>
    <x v="512"/>
    <x v="0"/>
    <x v="0"/>
    <x v="10"/>
    <x v="0"/>
    <x v="1"/>
    <x v="0"/>
    <x v="0"/>
    <x v="1"/>
    <x v="0"/>
    <x v="2"/>
    <x v="12"/>
    <x v="0"/>
    <x v="1"/>
    <x v="1"/>
    <x v="0"/>
  </r>
  <r>
    <x v="513"/>
    <x v="1"/>
    <x v="0"/>
    <x v="10"/>
    <x v="5"/>
    <x v="4"/>
    <x v="4"/>
    <x v="0"/>
    <x v="2"/>
    <x v="4"/>
    <x v="2"/>
    <x v="33"/>
    <x v="1"/>
    <x v="1"/>
    <x v="1"/>
    <x v="1"/>
  </r>
  <r>
    <x v="514"/>
    <x v="1"/>
    <x v="1"/>
    <x v="0"/>
    <x v="3"/>
    <x v="0"/>
    <x v="2"/>
    <x v="1"/>
    <x v="1"/>
    <x v="1"/>
    <x v="2"/>
    <x v="12"/>
    <x v="0"/>
    <x v="0"/>
    <x v="0"/>
    <x v="0"/>
  </r>
  <r>
    <x v="515"/>
    <x v="0"/>
    <x v="0"/>
    <x v="3"/>
    <x v="2"/>
    <x v="0"/>
    <x v="2"/>
    <x v="0"/>
    <x v="2"/>
    <x v="1"/>
    <x v="2"/>
    <x v="15"/>
    <x v="0"/>
    <x v="0"/>
    <x v="1"/>
    <x v="1"/>
  </r>
  <r>
    <x v="516"/>
    <x v="0"/>
    <x v="0"/>
    <x v="10"/>
    <x v="4"/>
    <x v="2"/>
    <x v="2"/>
    <x v="0"/>
    <x v="2"/>
    <x v="2"/>
    <x v="2"/>
    <x v="38"/>
    <x v="0"/>
    <x v="0"/>
    <x v="1"/>
    <x v="0"/>
  </r>
  <r>
    <x v="517"/>
    <x v="1"/>
    <x v="1"/>
    <x v="10"/>
    <x v="1"/>
    <x v="0"/>
    <x v="2"/>
    <x v="1"/>
    <x v="0"/>
    <x v="0"/>
    <x v="2"/>
    <x v="15"/>
    <x v="0"/>
    <x v="1"/>
    <x v="1"/>
    <x v="1"/>
  </r>
  <r>
    <x v="518"/>
    <x v="0"/>
    <x v="0"/>
    <x v="2"/>
    <x v="3"/>
    <x v="0"/>
    <x v="4"/>
    <x v="0"/>
    <x v="1"/>
    <x v="3"/>
    <x v="2"/>
    <x v="17"/>
    <x v="2"/>
    <x v="1"/>
    <x v="1"/>
    <x v="0"/>
  </r>
  <r>
    <x v="519"/>
    <x v="0"/>
    <x v="1"/>
    <x v="2"/>
    <x v="2"/>
    <x v="0"/>
    <x v="4"/>
    <x v="0"/>
    <x v="2"/>
    <x v="3"/>
    <x v="2"/>
    <x v="46"/>
    <x v="1"/>
    <x v="0"/>
    <x v="1"/>
    <x v="1"/>
  </r>
  <r>
    <x v="520"/>
    <x v="1"/>
    <x v="1"/>
    <x v="11"/>
    <x v="0"/>
    <x v="1"/>
    <x v="2"/>
    <x v="1"/>
    <x v="4"/>
    <x v="3"/>
    <x v="2"/>
    <x v="20"/>
    <x v="0"/>
    <x v="0"/>
    <x v="1"/>
    <x v="0"/>
  </r>
  <r>
    <x v="521"/>
    <x v="1"/>
    <x v="1"/>
    <x v="0"/>
    <x v="5"/>
    <x v="2"/>
    <x v="2"/>
    <x v="0"/>
    <x v="2"/>
    <x v="4"/>
    <x v="2"/>
    <x v="24"/>
    <x v="1"/>
    <x v="1"/>
    <x v="0"/>
    <x v="1"/>
  </r>
  <r>
    <x v="522"/>
    <x v="1"/>
    <x v="1"/>
    <x v="10"/>
    <x v="1"/>
    <x v="0"/>
    <x v="2"/>
    <x v="1"/>
    <x v="1"/>
    <x v="0"/>
    <x v="2"/>
    <x v="15"/>
    <x v="0"/>
    <x v="1"/>
    <x v="1"/>
    <x v="1"/>
  </r>
  <r>
    <x v="523"/>
    <x v="0"/>
    <x v="1"/>
    <x v="2"/>
    <x v="1"/>
    <x v="1"/>
    <x v="2"/>
    <x v="1"/>
    <x v="2"/>
    <x v="0"/>
    <x v="2"/>
    <x v="38"/>
    <x v="0"/>
    <x v="1"/>
    <x v="1"/>
    <x v="1"/>
  </r>
  <r>
    <x v="524"/>
    <x v="1"/>
    <x v="0"/>
    <x v="2"/>
    <x v="5"/>
    <x v="4"/>
    <x v="4"/>
    <x v="0"/>
    <x v="2"/>
    <x v="2"/>
    <x v="2"/>
    <x v="41"/>
    <x v="1"/>
    <x v="0"/>
    <x v="1"/>
    <x v="1"/>
  </r>
  <r>
    <x v="525"/>
    <x v="1"/>
    <x v="1"/>
    <x v="10"/>
    <x v="2"/>
    <x v="0"/>
    <x v="4"/>
    <x v="0"/>
    <x v="4"/>
    <x v="4"/>
    <x v="2"/>
    <x v="14"/>
    <x v="1"/>
    <x v="1"/>
    <x v="1"/>
    <x v="1"/>
  </r>
  <r>
    <x v="526"/>
    <x v="0"/>
    <x v="0"/>
    <x v="15"/>
    <x v="0"/>
    <x v="0"/>
    <x v="4"/>
    <x v="0"/>
    <x v="2"/>
    <x v="3"/>
    <x v="2"/>
    <x v="20"/>
    <x v="0"/>
    <x v="0"/>
    <x v="2"/>
    <x v="0"/>
  </r>
  <r>
    <x v="527"/>
    <x v="0"/>
    <x v="1"/>
    <x v="14"/>
    <x v="0"/>
    <x v="0"/>
    <x v="0"/>
    <x v="0"/>
    <x v="0"/>
    <x v="0"/>
    <x v="2"/>
    <x v="4"/>
    <x v="0"/>
    <x v="0"/>
    <x v="0"/>
    <x v="0"/>
  </r>
  <r>
    <x v="528"/>
    <x v="1"/>
    <x v="0"/>
    <x v="1"/>
    <x v="3"/>
    <x v="1"/>
    <x v="0"/>
    <x v="0"/>
    <x v="1"/>
    <x v="2"/>
    <x v="2"/>
    <x v="26"/>
    <x v="2"/>
    <x v="0"/>
    <x v="0"/>
    <x v="0"/>
  </r>
  <r>
    <x v="529"/>
    <x v="0"/>
    <x v="1"/>
    <x v="10"/>
    <x v="4"/>
    <x v="1"/>
    <x v="2"/>
    <x v="0"/>
    <x v="1"/>
    <x v="4"/>
    <x v="2"/>
    <x v="42"/>
    <x v="1"/>
    <x v="1"/>
    <x v="1"/>
    <x v="0"/>
  </r>
  <r>
    <x v="530"/>
    <x v="0"/>
    <x v="1"/>
    <x v="10"/>
    <x v="3"/>
    <x v="1"/>
    <x v="0"/>
    <x v="0"/>
    <x v="1"/>
    <x v="2"/>
    <x v="2"/>
    <x v="40"/>
    <x v="2"/>
    <x v="1"/>
    <x v="1"/>
    <x v="0"/>
  </r>
  <r>
    <x v="531"/>
    <x v="1"/>
    <x v="1"/>
    <x v="1"/>
    <x v="3"/>
    <x v="3"/>
    <x v="1"/>
    <x v="0"/>
    <x v="2"/>
    <x v="2"/>
    <x v="2"/>
    <x v="26"/>
    <x v="2"/>
    <x v="0"/>
    <x v="0"/>
    <x v="0"/>
  </r>
  <r>
    <x v="532"/>
    <x v="1"/>
    <x v="0"/>
    <x v="10"/>
    <x v="0"/>
    <x v="0"/>
    <x v="2"/>
    <x v="1"/>
    <x v="1"/>
    <x v="0"/>
    <x v="2"/>
    <x v="20"/>
    <x v="0"/>
    <x v="1"/>
    <x v="1"/>
    <x v="0"/>
  </r>
  <r>
    <x v="533"/>
    <x v="0"/>
    <x v="1"/>
    <x v="10"/>
    <x v="1"/>
    <x v="0"/>
    <x v="4"/>
    <x v="0"/>
    <x v="2"/>
    <x v="4"/>
    <x v="2"/>
    <x v="29"/>
    <x v="1"/>
    <x v="0"/>
    <x v="1"/>
    <x v="1"/>
  </r>
  <r>
    <x v="534"/>
    <x v="0"/>
    <x v="1"/>
    <x v="0"/>
    <x v="5"/>
    <x v="2"/>
    <x v="2"/>
    <x v="0"/>
    <x v="2"/>
    <x v="4"/>
    <x v="2"/>
    <x v="46"/>
    <x v="1"/>
    <x v="0"/>
    <x v="0"/>
    <x v="1"/>
  </r>
  <r>
    <x v="535"/>
    <x v="0"/>
    <x v="1"/>
    <x v="14"/>
    <x v="1"/>
    <x v="0"/>
    <x v="0"/>
    <x v="0"/>
    <x v="4"/>
    <x v="4"/>
    <x v="2"/>
    <x v="3"/>
    <x v="0"/>
    <x v="0"/>
    <x v="0"/>
    <x v="1"/>
  </r>
  <r>
    <x v="536"/>
    <x v="1"/>
    <x v="0"/>
    <x v="2"/>
    <x v="1"/>
    <x v="0"/>
    <x v="0"/>
    <x v="0"/>
    <x v="1"/>
    <x v="0"/>
    <x v="2"/>
    <x v="3"/>
    <x v="0"/>
    <x v="1"/>
    <x v="1"/>
    <x v="1"/>
  </r>
  <r>
    <x v="537"/>
    <x v="0"/>
    <x v="0"/>
    <x v="0"/>
    <x v="0"/>
    <x v="1"/>
    <x v="1"/>
    <x v="0"/>
    <x v="1"/>
    <x v="3"/>
    <x v="2"/>
    <x v="38"/>
    <x v="0"/>
    <x v="1"/>
    <x v="0"/>
    <x v="0"/>
  </r>
  <r>
    <x v="538"/>
    <x v="0"/>
    <x v="0"/>
    <x v="2"/>
    <x v="5"/>
    <x v="0"/>
    <x v="4"/>
    <x v="0"/>
    <x v="0"/>
    <x v="0"/>
    <x v="2"/>
    <x v="0"/>
    <x v="0"/>
    <x v="0"/>
    <x v="1"/>
    <x v="1"/>
  </r>
  <r>
    <x v="539"/>
    <x v="1"/>
    <x v="0"/>
    <x v="3"/>
    <x v="3"/>
    <x v="0"/>
    <x v="2"/>
    <x v="1"/>
    <x v="1"/>
    <x v="1"/>
    <x v="2"/>
    <x v="34"/>
    <x v="0"/>
    <x v="1"/>
    <x v="1"/>
    <x v="0"/>
  </r>
  <r>
    <x v="540"/>
    <x v="1"/>
    <x v="0"/>
    <x v="3"/>
    <x v="1"/>
    <x v="4"/>
    <x v="4"/>
    <x v="0"/>
    <x v="2"/>
    <x v="3"/>
    <x v="2"/>
    <x v="31"/>
    <x v="0"/>
    <x v="0"/>
    <x v="1"/>
    <x v="1"/>
  </r>
  <r>
    <x v="541"/>
    <x v="0"/>
    <x v="1"/>
    <x v="14"/>
    <x v="0"/>
    <x v="4"/>
    <x v="0"/>
    <x v="0"/>
    <x v="0"/>
    <x v="3"/>
    <x v="2"/>
    <x v="17"/>
    <x v="2"/>
    <x v="0"/>
    <x v="0"/>
    <x v="0"/>
  </r>
  <r>
    <x v="542"/>
    <x v="0"/>
    <x v="1"/>
    <x v="0"/>
    <x v="3"/>
    <x v="2"/>
    <x v="0"/>
    <x v="0"/>
    <x v="2"/>
    <x v="2"/>
    <x v="2"/>
    <x v="19"/>
    <x v="2"/>
    <x v="0"/>
    <x v="0"/>
    <x v="0"/>
  </r>
  <r>
    <x v="543"/>
    <x v="0"/>
    <x v="0"/>
    <x v="3"/>
    <x v="4"/>
    <x v="2"/>
    <x v="2"/>
    <x v="0"/>
    <x v="2"/>
    <x v="1"/>
    <x v="2"/>
    <x v="39"/>
    <x v="0"/>
    <x v="0"/>
    <x v="1"/>
    <x v="0"/>
  </r>
  <r>
    <x v="544"/>
    <x v="1"/>
    <x v="1"/>
    <x v="7"/>
    <x v="4"/>
    <x v="0"/>
    <x v="4"/>
    <x v="1"/>
    <x v="3"/>
    <x v="3"/>
    <x v="2"/>
    <x v="8"/>
    <x v="0"/>
    <x v="0"/>
    <x v="2"/>
    <x v="0"/>
  </r>
  <r>
    <x v="545"/>
    <x v="1"/>
    <x v="1"/>
    <x v="10"/>
    <x v="3"/>
    <x v="1"/>
    <x v="0"/>
    <x v="1"/>
    <x v="2"/>
    <x v="3"/>
    <x v="2"/>
    <x v="19"/>
    <x v="2"/>
    <x v="0"/>
    <x v="1"/>
    <x v="0"/>
  </r>
  <r>
    <x v="546"/>
    <x v="0"/>
    <x v="1"/>
    <x v="10"/>
    <x v="5"/>
    <x v="0"/>
    <x v="2"/>
    <x v="0"/>
    <x v="2"/>
    <x v="1"/>
    <x v="2"/>
    <x v="1"/>
    <x v="0"/>
    <x v="1"/>
    <x v="1"/>
    <x v="1"/>
  </r>
  <r>
    <x v="547"/>
    <x v="0"/>
    <x v="1"/>
    <x v="10"/>
    <x v="4"/>
    <x v="2"/>
    <x v="2"/>
    <x v="0"/>
    <x v="2"/>
    <x v="1"/>
    <x v="2"/>
    <x v="10"/>
    <x v="0"/>
    <x v="1"/>
    <x v="1"/>
    <x v="0"/>
  </r>
  <r>
    <x v="548"/>
    <x v="1"/>
    <x v="0"/>
    <x v="2"/>
    <x v="5"/>
    <x v="4"/>
    <x v="0"/>
    <x v="1"/>
    <x v="0"/>
    <x v="0"/>
    <x v="2"/>
    <x v="28"/>
    <x v="0"/>
    <x v="0"/>
    <x v="1"/>
    <x v="1"/>
  </r>
  <r>
    <x v="549"/>
    <x v="0"/>
    <x v="0"/>
    <x v="12"/>
    <x v="1"/>
    <x v="0"/>
    <x v="4"/>
    <x v="0"/>
    <x v="4"/>
    <x v="0"/>
    <x v="2"/>
    <x v="12"/>
    <x v="0"/>
    <x v="1"/>
    <x v="2"/>
    <x v="1"/>
  </r>
  <r>
    <x v="550"/>
    <x v="1"/>
    <x v="0"/>
    <x v="3"/>
    <x v="3"/>
    <x v="0"/>
    <x v="2"/>
    <x v="1"/>
    <x v="1"/>
    <x v="0"/>
    <x v="1"/>
    <x v="0"/>
    <x v="0"/>
    <x v="1"/>
    <x v="1"/>
    <x v="0"/>
  </r>
  <r>
    <x v="551"/>
    <x v="0"/>
    <x v="0"/>
    <x v="14"/>
    <x v="5"/>
    <x v="0"/>
    <x v="4"/>
    <x v="0"/>
    <x v="2"/>
    <x v="4"/>
    <x v="2"/>
    <x v="18"/>
    <x v="1"/>
    <x v="0"/>
    <x v="0"/>
    <x v="1"/>
  </r>
  <r>
    <x v="552"/>
    <x v="1"/>
    <x v="1"/>
    <x v="10"/>
    <x v="1"/>
    <x v="2"/>
    <x v="2"/>
    <x v="0"/>
    <x v="2"/>
    <x v="4"/>
    <x v="2"/>
    <x v="9"/>
    <x v="0"/>
    <x v="1"/>
    <x v="1"/>
    <x v="1"/>
  </r>
  <r>
    <x v="553"/>
    <x v="0"/>
    <x v="1"/>
    <x v="0"/>
    <x v="1"/>
    <x v="1"/>
    <x v="2"/>
    <x v="1"/>
    <x v="2"/>
    <x v="2"/>
    <x v="2"/>
    <x v="49"/>
    <x v="1"/>
    <x v="1"/>
    <x v="0"/>
    <x v="1"/>
  </r>
  <r>
    <x v="554"/>
    <x v="0"/>
    <x v="0"/>
    <x v="10"/>
    <x v="4"/>
    <x v="4"/>
    <x v="2"/>
    <x v="0"/>
    <x v="0"/>
    <x v="1"/>
    <x v="2"/>
    <x v="8"/>
    <x v="0"/>
    <x v="1"/>
    <x v="1"/>
    <x v="0"/>
  </r>
  <r>
    <x v="555"/>
    <x v="1"/>
    <x v="1"/>
    <x v="14"/>
    <x v="3"/>
    <x v="1"/>
    <x v="0"/>
    <x v="1"/>
    <x v="1"/>
    <x v="1"/>
    <x v="2"/>
    <x v="32"/>
    <x v="0"/>
    <x v="1"/>
    <x v="0"/>
    <x v="0"/>
  </r>
  <r>
    <x v="556"/>
    <x v="0"/>
    <x v="1"/>
    <x v="2"/>
    <x v="5"/>
    <x v="0"/>
    <x v="4"/>
    <x v="0"/>
    <x v="0"/>
    <x v="3"/>
    <x v="2"/>
    <x v="0"/>
    <x v="0"/>
    <x v="0"/>
    <x v="1"/>
    <x v="1"/>
  </r>
  <r>
    <x v="557"/>
    <x v="0"/>
    <x v="0"/>
    <x v="0"/>
    <x v="1"/>
    <x v="1"/>
    <x v="1"/>
    <x v="0"/>
    <x v="0"/>
    <x v="3"/>
    <x v="2"/>
    <x v="23"/>
    <x v="2"/>
    <x v="0"/>
    <x v="0"/>
    <x v="1"/>
  </r>
  <r>
    <x v="558"/>
    <x v="0"/>
    <x v="0"/>
    <x v="14"/>
    <x v="1"/>
    <x v="0"/>
    <x v="0"/>
    <x v="0"/>
    <x v="2"/>
    <x v="0"/>
    <x v="2"/>
    <x v="3"/>
    <x v="0"/>
    <x v="0"/>
    <x v="0"/>
    <x v="1"/>
  </r>
  <r>
    <x v="559"/>
    <x v="1"/>
    <x v="0"/>
    <x v="10"/>
    <x v="4"/>
    <x v="0"/>
    <x v="4"/>
    <x v="0"/>
    <x v="0"/>
    <x v="4"/>
    <x v="2"/>
    <x v="7"/>
    <x v="1"/>
    <x v="0"/>
    <x v="1"/>
    <x v="0"/>
  </r>
  <r>
    <x v="560"/>
    <x v="0"/>
    <x v="0"/>
    <x v="10"/>
    <x v="3"/>
    <x v="4"/>
    <x v="2"/>
    <x v="0"/>
    <x v="0"/>
    <x v="0"/>
    <x v="2"/>
    <x v="8"/>
    <x v="0"/>
    <x v="0"/>
    <x v="1"/>
    <x v="0"/>
  </r>
  <r>
    <x v="561"/>
    <x v="0"/>
    <x v="0"/>
    <x v="6"/>
    <x v="4"/>
    <x v="3"/>
    <x v="1"/>
    <x v="1"/>
    <x v="0"/>
    <x v="0"/>
    <x v="2"/>
    <x v="28"/>
    <x v="0"/>
    <x v="0"/>
    <x v="0"/>
    <x v="0"/>
  </r>
  <r>
    <x v="562"/>
    <x v="0"/>
    <x v="0"/>
    <x v="3"/>
    <x v="4"/>
    <x v="4"/>
    <x v="2"/>
    <x v="0"/>
    <x v="0"/>
    <x v="1"/>
    <x v="2"/>
    <x v="17"/>
    <x v="2"/>
    <x v="1"/>
    <x v="1"/>
    <x v="0"/>
  </r>
  <r>
    <x v="563"/>
    <x v="1"/>
    <x v="0"/>
    <x v="1"/>
    <x v="3"/>
    <x v="1"/>
    <x v="0"/>
    <x v="0"/>
    <x v="1"/>
    <x v="2"/>
    <x v="2"/>
    <x v="26"/>
    <x v="2"/>
    <x v="0"/>
    <x v="0"/>
    <x v="0"/>
  </r>
  <r>
    <x v="564"/>
    <x v="1"/>
    <x v="1"/>
    <x v="1"/>
    <x v="3"/>
    <x v="1"/>
    <x v="0"/>
    <x v="0"/>
    <x v="1"/>
    <x v="2"/>
    <x v="2"/>
    <x v="40"/>
    <x v="2"/>
    <x v="0"/>
    <x v="0"/>
    <x v="0"/>
  </r>
  <r>
    <x v="565"/>
    <x v="0"/>
    <x v="1"/>
    <x v="0"/>
    <x v="1"/>
    <x v="1"/>
    <x v="2"/>
    <x v="1"/>
    <x v="2"/>
    <x v="2"/>
    <x v="2"/>
    <x v="9"/>
    <x v="0"/>
    <x v="1"/>
    <x v="0"/>
    <x v="1"/>
  </r>
  <r>
    <x v="566"/>
    <x v="0"/>
    <x v="0"/>
    <x v="10"/>
    <x v="4"/>
    <x v="4"/>
    <x v="4"/>
    <x v="0"/>
    <x v="2"/>
    <x v="2"/>
    <x v="2"/>
    <x v="43"/>
    <x v="1"/>
    <x v="0"/>
    <x v="1"/>
    <x v="0"/>
  </r>
  <r>
    <x v="567"/>
    <x v="0"/>
    <x v="1"/>
    <x v="0"/>
    <x v="0"/>
    <x v="1"/>
    <x v="1"/>
    <x v="0"/>
    <x v="1"/>
    <x v="3"/>
    <x v="2"/>
    <x v="28"/>
    <x v="0"/>
    <x v="1"/>
    <x v="0"/>
    <x v="0"/>
  </r>
  <r>
    <x v="568"/>
    <x v="0"/>
    <x v="1"/>
    <x v="3"/>
    <x v="0"/>
    <x v="1"/>
    <x v="0"/>
    <x v="0"/>
    <x v="1"/>
    <x v="1"/>
    <x v="2"/>
    <x v="20"/>
    <x v="0"/>
    <x v="1"/>
    <x v="1"/>
    <x v="0"/>
  </r>
  <r>
    <x v="569"/>
    <x v="1"/>
    <x v="1"/>
    <x v="14"/>
    <x v="1"/>
    <x v="4"/>
    <x v="4"/>
    <x v="0"/>
    <x v="2"/>
    <x v="4"/>
    <x v="2"/>
    <x v="45"/>
    <x v="1"/>
    <x v="0"/>
    <x v="0"/>
    <x v="1"/>
  </r>
  <r>
    <x v="570"/>
    <x v="0"/>
    <x v="1"/>
    <x v="3"/>
    <x v="1"/>
    <x v="3"/>
    <x v="0"/>
    <x v="0"/>
    <x v="2"/>
    <x v="2"/>
    <x v="2"/>
    <x v="31"/>
    <x v="0"/>
    <x v="0"/>
    <x v="1"/>
    <x v="1"/>
  </r>
  <r>
    <x v="571"/>
    <x v="0"/>
    <x v="1"/>
    <x v="0"/>
    <x v="4"/>
    <x v="3"/>
    <x v="0"/>
    <x v="0"/>
    <x v="2"/>
    <x v="1"/>
    <x v="2"/>
    <x v="10"/>
    <x v="0"/>
    <x v="0"/>
    <x v="0"/>
    <x v="0"/>
  </r>
  <r>
    <x v="572"/>
    <x v="1"/>
    <x v="1"/>
    <x v="1"/>
    <x v="3"/>
    <x v="2"/>
    <x v="0"/>
    <x v="0"/>
    <x v="2"/>
    <x v="2"/>
    <x v="2"/>
    <x v="25"/>
    <x v="2"/>
    <x v="0"/>
    <x v="0"/>
    <x v="0"/>
  </r>
  <r>
    <x v="573"/>
    <x v="0"/>
    <x v="1"/>
    <x v="10"/>
    <x v="1"/>
    <x v="4"/>
    <x v="4"/>
    <x v="0"/>
    <x v="2"/>
    <x v="3"/>
    <x v="2"/>
    <x v="18"/>
    <x v="1"/>
    <x v="0"/>
    <x v="1"/>
    <x v="1"/>
  </r>
  <r>
    <x v="574"/>
    <x v="1"/>
    <x v="0"/>
    <x v="2"/>
    <x v="3"/>
    <x v="0"/>
    <x v="4"/>
    <x v="0"/>
    <x v="1"/>
    <x v="3"/>
    <x v="2"/>
    <x v="17"/>
    <x v="2"/>
    <x v="1"/>
    <x v="1"/>
    <x v="0"/>
  </r>
  <r>
    <x v="575"/>
    <x v="1"/>
    <x v="1"/>
    <x v="10"/>
    <x v="4"/>
    <x v="1"/>
    <x v="2"/>
    <x v="0"/>
    <x v="1"/>
    <x v="4"/>
    <x v="2"/>
    <x v="16"/>
    <x v="1"/>
    <x v="0"/>
    <x v="1"/>
    <x v="0"/>
  </r>
  <r>
    <x v="576"/>
    <x v="1"/>
    <x v="0"/>
    <x v="0"/>
    <x v="3"/>
    <x v="2"/>
    <x v="0"/>
    <x v="0"/>
    <x v="1"/>
    <x v="2"/>
    <x v="2"/>
    <x v="23"/>
    <x v="2"/>
    <x v="0"/>
    <x v="0"/>
    <x v="0"/>
  </r>
  <r>
    <x v="577"/>
    <x v="0"/>
    <x v="1"/>
    <x v="7"/>
    <x v="0"/>
    <x v="0"/>
    <x v="4"/>
    <x v="0"/>
    <x v="3"/>
    <x v="0"/>
    <x v="2"/>
    <x v="13"/>
    <x v="0"/>
    <x v="0"/>
    <x v="2"/>
    <x v="0"/>
  </r>
  <r>
    <x v="578"/>
    <x v="0"/>
    <x v="1"/>
    <x v="10"/>
    <x v="5"/>
    <x v="0"/>
    <x v="4"/>
    <x v="0"/>
    <x v="2"/>
    <x v="1"/>
    <x v="2"/>
    <x v="14"/>
    <x v="1"/>
    <x v="0"/>
    <x v="1"/>
    <x v="1"/>
  </r>
  <r>
    <x v="579"/>
    <x v="1"/>
    <x v="0"/>
    <x v="0"/>
    <x v="1"/>
    <x v="1"/>
    <x v="1"/>
    <x v="1"/>
    <x v="2"/>
    <x v="0"/>
    <x v="2"/>
    <x v="21"/>
    <x v="2"/>
    <x v="0"/>
    <x v="0"/>
    <x v="1"/>
  </r>
  <r>
    <x v="580"/>
    <x v="0"/>
    <x v="0"/>
    <x v="10"/>
    <x v="1"/>
    <x v="4"/>
    <x v="4"/>
    <x v="0"/>
    <x v="2"/>
    <x v="4"/>
    <x v="2"/>
    <x v="45"/>
    <x v="1"/>
    <x v="0"/>
    <x v="1"/>
    <x v="1"/>
  </r>
  <r>
    <x v="581"/>
    <x v="0"/>
    <x v="1"/>
    <x v="0"/>
    <x v="3"/>
    <x v="1"/>
    <x v="0"/>
    <x v="0"/>
    <x v="1"/>
    <x v="2"/>
    <x v="2"/>
    <x v="26"/>
    <x v="2"/>
    <x v="0"/>
    <x v="0"/>
    <x v="0"/>
  </r>
  <r>
    <x v="582"/>
    <x v="0"/>
    <x v="1"/>
    <x v="2"/>
    <x v="5"/>
    <x v="4"/>
    <x v="0"/>
    <x v="0"/>
    <x v="0"/>
    <x v="3"/>
    <x v="2"/>
    <x v="15"/>
    <x v="0"/>
    <x v="0"/>
    <x v="1"/>
    <x v="1"/>
  </r>
  <r>
    <x v="583"/>
    <x v="0"/>
    <x v="1"/>
    <x v="10"/>
    <x v="1"/>
    <x v="0"/>
    <x v="4"/>
    <x v="0"/>
    <x v="2"/>
    <x v="4"/>
    <x v="2"/>
    <x v="29"/>
    <x v="1"/>
    <x v="0"/>
    <x v="1"/>
    <x v="1"/>
  </r>
  <r>
    <x v="584"/>
    <x v="1"/>
    <x v="1"/>
    <x v="3"/>
    <x v="4"/>
    <x v="0"/>
    <x v="0"/>
    <x v="1"/>
    <x v="1"/>
    <x v="0"/>
    <x v="2"/>
    <x v="34"/>
    <x v="0"/>
    <x v="1"/>
    <x v="1"/>
    <x v="0"/>
  </r>
  <r>
    <x v="585"/>
    <x v="1"/>
    <x v="1"/>
    <x v="7"/>
    <x v="4"/>
    <x v="0"/>
    <x v="4"/>
    <x v="1"/>
    <x v="4"/>
    <x v="0"/>
    <x v="2"/>
    <x v="32"/>
    <x v="0"/>
    <x v="1"/>
    <x v="2"/>
    <x v="0"/>
  </r>
  <r>
    <x v="586"/>
    <x v="0"/>
    <x v="1"/>
    <x v="10"/>
    <x v="4"/>
    <x v="2"/>
    <x v="2"/>
    <x v="1"/>
    <x v="2"/>
    <x v="3"/>
    <x v="2"/>
    <x v="36"/>
    <x v="0"/>
    <x v="0"/>
    <x v="1"/>
    <x v="0"/>
  </r>
  <r>
    <x v="587"/>
    <x v="0"/>
    <x v="0"/>
    <x v="12"/>
    <x v="3"/>
    <x v="4"/>
    <x v="4"/>
    <x v="0"/>
    <x v="4"/>
    <x v="3"/>
    <x v="2"/>
    <x v="8"/>
    <x v="0"/>
    <x v="0"/>
    <x v="2"/>
    <x v="0"/>
  </r>
  <r>
    <x v="588"/>
    <x v="0"/>
    <x v="0"/>
    <x v="8"/>
    <x v="4"/>
    <x v="2"/>
    <x v="2"/>
    <x v="0"/>
    <x v="1"/>
    <x v="4"/>
    <x v="2"/>
    <x v="36"/>
    <x v="0"/>
    <x v="1"/>
    <x v="1"/>
    <x v="0"/>
  </r>
  <r>
    <x v="589"/>
    <x v="1"/>
    <x v="1"/>
    <x v="10"/>
    <x v="4"/>
    <x v="0"/>
    <x v="4"/>
    <x v="0"/>
    <x v="0"/>
    <x v="4"/>
    <x v="2"/>
    <x v="42"/>
    <x v="1"/>
    <x v="0"/>
    <x v="1"/>
    <x v="0"/>
  </r>
  <r>
    <x v="590"/>
    <x v="0"/>
    <x v="0"/>
    <x v="10"/>
    <x v="0"/>
    <x v="4"/>
    <x v="2"/>
    <x v="1"/>
    <x v="0"/>
    <x v="0"/>
    <x v="2"/>
    <x v="11"/>
    <x v="2"/>
    <x v="1"/>
    <x v="1"/>
    <x v="0"/>
  </r>
  <r>
    <x v="591"/>
    <x v="0"/>
    <x v="1"/>
    <x v="0"/>
    <x v="5"/>
    <x v="2"/>
    <x v="2"/>
    <x v="1"/>
    <x v="2"/>
    <x v="4"/>
    <x v="2"/>
    <x v="33"/>
    <x v="1"/>
    <x v="1"/>
    <x v="0"/>
    <x v="1"/>
  </r>
  <r>
    <x v="592"/>
    <x v="1"/>
    <x v="0"/>
    <x v="2"/>
    <x v="2"/>
    <x v="1"/>
    <x v="2"/>
    <x v="0"/>
    <x v="2"/>
    <x v="2"/>
    <x v="2"/>
    <x v="20"/>
    <x v="0"/>
    <x v="0"/>
    <x v="1"/>
    <x v="1"/>
  </r>
  <r>
    <x v="593"/>
    <x v="1"/>
    <x v="0"/>
    <x v="3"/>
    <x v="4"/>
    <x v="1"/>
    <x v="2"/>
    <x v="0"/>
    <x v="0"/>
    <x v="2"/>
    <x v="2"/>
    <x v="38"/>
    <x v="0"/>
    <x v="1"/>
    <x v="1"/>
    <x v="0"/>
  </r>
  <r>
    <x v="594"/>
    <x v="0"/>
    <x v="1"/>
    <x v="2"/>
    <x v="5"/>
    <x v="4"/>
    <x v="4"/>
    <x v="0"/>
    <x v="2"/>
    <x v="2"/>
    <x v="2"/>
    <x v="43"/>
    <x v="1"/>
    <x v="0"/>
    <x v="1"/>
    <x v="1"/>
  </r>
  <r>
    <x v="595"/>
    <x v="1"/>
    <x v="0"/>
    <x v="6"/>
    <x v="1"/>
    <x v="2"/>
    <x v="0"/>
    <x v="0"/>
    <x v="2"/>
    <x v="1"/>
    <x v="2"/>
    <x v="44"/>
    <x v="1"/>
    <x v="0"/>
    <x v="0"/>
    <x v="1"/>
  </r>
  <r>
    <x v="596"/>
    <x v="0"/>
    <x v="0"/>
    <x v="8"/>
    <x v="5"/>
    <x v="1"/>
    <x v="2"/>
    <x v="0"/>
    <x v="1"/>
    <x v="3"/>
    <x v="2"/>
    <x v="12"/>
    <x v="0"/>
    <x v="0"/>
    <x v="1"/>
    <x v="1"/>
  </r>
  <r>
    <x v="597"/>
    <x v="1"/>
    <x v="1"/>
    <x v="0"/>
    <x v="4"/>
    <x v="2"/>
    <x v="2"/>
    <x v="1"/>
    <x v="1"/>
    <x v="1"/>
    <x v="2"/>
    <x v="7"/>
    <x v="1"/>
    <x v="1"/>
    <x v="0"/>
    <x v="0"/>
  </r>
  <r>
    <x v="598"/>
    <x v="0"/>
    <x v="1"/>
    <x v="12"/>
    <x v="0"/>
    <x v="4"/>
    <x v="4"/>
    <x v="0"/>
    <x v="3"/>
    <x v="0"/>
    <x v="2"/>
    <x v="3"/>
    <x v="0"/>
    <x v="0"/>
    <x v="2"/>
    <x v="0"/>
  </r>
  <r>
    <x v="599"/>
    <x v="0"/>
    <x v="0"/>
    <x v="10"/>
    <x v="4"/>
    <x v="1"/>
    <x v="2"/>
    <x v="0"/>
    <x v="1"/>
    <x v="1"/>
    <x v="2"/>
    <x v="42"/>
    <x v="1"/>
    <x v="1"/>
    <x v="1"/>
    <x v="0"/>
  </r>
  <r>
    <x v="600"/>
    <x v="0"/>
    <x v="1"/>
    <x v="1"/>
    <x v="4"/>
    <x v="2"/>
    <x v="0"/>
    <x v="1"/>
    <x v="2"/>
    <x v="0"/>
    <x v="2"/>
    <x v="38"/>
    <x v="0"/>
    <x v="0"/>
    <x v="0"/>
    <x v="0"/>
  </r>
  <r>
    <x v="601"/>
    <x v="1"/>
    <x v="1"/>
    <x v="2"/>
    <x v="5"/>
    <x v="1"/>
    <x v="2"/>
    <x v="1"/>
    <x v="2"/>
    <x v="0"/>
    <x v="2"/>
    <x v="1"/>
    <x v="0"/>
    <x v="0"/>
    <x v="1"/>
    <x v="1"/>
  </r>
  <r>
    <x v="602"/>
    <x v="1"/>
    <x v="1"/>
    <x v="10"/>
    <x v="4"/>
    <x v="3"/>
    <x v="0"/>
    <x v="0"/>
    <x v="2"/>
    <x v="2"/>
    <x v="2"/>
    <x v="31"/>
    <x v="0"/>
    <x v="1"/>
    <x v="1"/>
    <x v="0"/>
  </r>
  <r>
    <x v="603"/>
    <x v="0"/>
    <x v="1"/>
    <x v="10"/>
    <x v="0"/>
    <x v="4"/>
    <x v="2"/>
    <x v="0"/>
    <x v="0"/>
    <x v="0"/>
    <x v="2"/>
    <x v="11"/>
    <x v="2"/>
    <x v="1"/>
    <x v="1"/>
    <x v="0"/>
  </r>
  <r>
    <x v="604"/>
    <x v="0"/>
    <x v="1"/>
    <x v="0"/>
    <x v="3"/>
    <x v="2"/>
    <x v="0"/>
    <x v="0"/>
    <x v="2"/>
    <x v="2"/>
    <x v="2"/>
    <x v="40"/>
    <x v="2"/>
    <x v="0"/>
    <x v="0"/>
    <x v="0"/>
  </r>
  <r>
    <x v="605"/>
    <x v="1"/>
    <x v="1"/>
    <x v="3"/>
    <x v="1"/>
    <x v="2"/>
    <x v="2"/>
    <x v="0"/>
    <x v="0"/>
    <x v="2"/>
    <x v="2"/>
    <x v="31"/>
    <x v="0"/>
    <x v="1"/>
    <x v="1"/>
    <x v="1"/>
  </r>
  <r>
    <x v="606"/>
    <x v="1"/>
    <x v="1"/>
    <x v="0"/>
    <x v="4"/>
    <x v="0"/>
    <x v="0"/>
    <x v="0"/>
    <x v="0"/>
    <x v="1"/>
    <x v="2"/>
    <x v="4"/>
    <x v="0"/>
    <x v="0"/>
    <x v="0"/>
    <x v="0"/>
  </r>
  <r>
    <x v="607"/>
    <x v="1"/>
    <x v="0"/>
    <x v="3"/>
    <x v="2"/>
    <x v="4"/>
    <x v="2"/>
    <x v="0"/>
    <x v="4"/>
    <x v="4"/>
    <x v="2"/>
    <x v="30"/>
    <x v="0"/>
    <x v="1"/>
    <x v="1"/>
    <x v="1"/>
  </r>
  <r>
    <x v="608"/>
    <x v="0"/>
    <x v="1"/>
    <x v="10"/>
    <x v="1"/>
    <x v="3"/>
    <x v="0"/>
    <x v="0"/>
    <x v="2"/>
    <x v="2"/>
    <x v="2"/>
    <x v="31"/>
    <x v="0"/>
    <x v="1"/>
    <x v="1"/>
    <x v="1"/>
  </r>
  <r>
    <x v="609"/>
    <x v="0"/>
    <x v="1"/>
    <x v="3"/>
    <x v="3"/>
    <x v="0"/>
    <x v="2"/>
    <x v="1"/>
    <x v="1"/>
    <x v="0"/>
    <x v="2"/>
    <x v="1"/>
    <x v="0"/>
    <x v="0"/>
    <x v="1"/>
    <x v="0"/>
  </r>
  <r>
    <x v="610"/>
    <x v="0"/>
    <x v="1"/>
    <x v="10"/>
    <x v="0"/>
    <x v="1"/>
    <x v="0"/>
    <x v="0"/>
    <x v="1"/>
    <x v="1"/>
    <x v="2"/>
    <x v="20"/>
    <x v="0"/>
    <x v="0"/>
    <x v="1"/>
    <x v="0"/>
  </r>
  <r>
    <x v="611"/>
    <x v="0"/>
    <x v="0"/>
    <x v="2"/>
    <x v="3"/>
    <x v="0"/>
    <x v="4"/>
    <x v="0"/>
    <x v="1"/>
    <x v="3"/>
    <x v="2"/>
    <x v="17"/>
    <x v="2"/>
    <x v="1"/>
    <x v="1"/>
    <x v="0"/>
  </r>
  <r>
    <x v="612"/>
    <x v="1"/>
    <x v="0"/>
    <x v="1"/>
    <x v="3"/>
    <x v="3"/>
    <x v="1"/>
    <x v="0"/>
    <x v="2"/>
    <x v="2"/>
    <x v="2"/>
    <x v="40"/>
    <x v="2"/>
    <x v="0"/>
    <x v="0"/>
    <x v="0"/>
  </r>
  <r>
    <x v="613"/>
    <x v="1"/>
    <x v="1"/>
    <x v="15"/>
    <x v="0"/>
    <x v="1"/>
    <x v="2"/>
    <x v="0"/>
    <x v="3"/>
    <x v="2"/>
    <x v="2"/>
    <x v="12"/>
    <x v="0"/>
    <x v="1"/>
    <x v="2"/>
    <x v="0"/>
  </r>
  <r>
    <x v="614"/>
    <x v="0"/>
    <x v="0"/>
    <x v="11"/>
    <x v="1"/>
    <x v="1"/>
    <x v="2"/>
    <x v="0"/>
    <x v="3"/>
    <x v="3"/>
    <x v="2"/>
    <x v="12"/>
    <x v="0"/>
    <x v="0"/>
    <x v="1"/>
    <x v="1"/>
  </r>
  <r>
    <x v="615"/>
    <x v="1"/>
    <x v="0"/>
    <x v="10"/>
    <x v="5"/>
    <x v="4"/>
    <x v="0"/>
    <x v="1"/>
    <x v="0"/>
    <x v="0"/>
    <x v="2"/>
    <x v="15"/>
    <x v="0"/>
    <x v="1"/>
    <x v="1"/>
    <x v="1"/>
  </r>
  <r>
    <x v="616"/>
    <x v="1"/>
    <x v="0"/>
    <x v="2"/>
    <x v="5"/>
    <x v="4"/>
    <x v="0"/>
    <x v="0"/>
    <x v="0"/>
    <x v="3"/>
    <x v="2"/>
    <x v="15"/>
    <x v="0"/>
    <x v="0"/>
    <x v="1"/>
    <x v="1"/>
  </r>
  <r>
    <x v="617"/>
    <x v="0"/>
    <x v="1"/>
    <x v="0"/>
    <x v="5"/>
    <x v="2"/>
    <x v="0"/>
    <x v="0"/>
    <x v="2"/>
    <x v="1"/>
    <x v="2"/>
    <x v="20"/>
    <x v="0"/>
    <x v="1"/>
    <x v="0"/>
    <x v="1"/>
  </r>
  <r>
    <x v="618"/>
    <x v="1"/>
    <x v="0"/>
    <x v="6"/>
    <x v="1"/>
    <x v="3"/>
    <x v="1"/>
    <x v="1"/>
    <x v="2"/>
    <x v="0"/>
    <x v="2"/>
    <x v="38"/>
    <x v="0"/>
    <x v="0"/>
    <x v="0"/>
    <x v="1"/>
  </r>
  <r>
    <x v="619"/>
    <x v="1"/>
    <x v="0"/>
    <x v="0"/>
    <x v="3"/>
    <x v="2"/>
    <x v="0"/>
    <x v="0"/>
    <x v="1"/>
    <x v="2"/>
    <x v="2"/>
    <x v="25"/>
    <x v="2"/>
    <x v="0"/>
    <x v="0"/>
    <x v="0"/>
  </r>
  <r>
    <x v="620"/>
    <x v="0"/>
    <x v="0"/>
    <x v="11"/>
    <x v="5"/>
    <x v="1"/>
    <x v="2"/>
    <x v="0"/>
    <x v="3"/>
    <x v="1"/>
    <x v="2"/>
    <x v="3"/>
    <x v="0"/>
    <x v="1"/>
    <x v="1"/>
    <x v="1"/>
  </r>
  <r>
    <x v="621"/>
    <x v="0"/>
    <x v="1"/>
    <x v="3"/>
    <x v="5"/>
    <x v="0"/>
    <x v="4"/>
    <x v="0"/>
    <x v="1"/>
    <x v="3"/>
    <x v="2"/>
    <x v="7"/>
    <x v="1"/>
    <x v="0"/>
    <x v="1"/>
    <x v="1"/>
  </r>
  <r>
    <x v="622"/>
    <x v="0"/>
    <x v="1"/>
    <x v="10"/>
    <x v="2"/>
    <x v="0"/>
    <x v="2"/>
    <x v="0"/>
    <x v="1"/>
    <x v="1"/>
    <x v="2"/>
    <x v="15"/>
    <x v="0"/>
    <x v="0"/>
    <x v="1"/>
    <x v="1"/>
  </r>
  <r>
    <x v="623"/>
    <x v="0"/>
    <x v="0"/>
    <x v="3"/>
    <x v="5"/>
    <x v="1"/>
    <x v="2"/>
    <x v="0"/>
    <x v="1"/>
    <x v="3"/>
    <x v="2"/>
    <x v="10"/>
    <x v="0"/>
    <x v="0"/>
    <x v="1"/>
    <x v="1"/>
  </r>
  <r>
    <x v="624"/>
    <x v="1"/>
    <x v="0"/>
    <x v="3"/>
    <x v="3"/>
    <x v="1"/>
    <x v="0"/>
    <x v="1"/>
    <x v="2"/>
    <x v="0"/>
    <x v="2"/>
    <x v="40"/>
    <x v="2"/>
    <x v="1"/>
    <x v="1"/>
    <x v="0"/>
  </r>
  <r>
    <x v="625"/>
    <x v="0"/>
    <x v="1"/>
    <x v="10"/>
    <x v="1"/>
    <x v="4"/>
    <x v="4"/>
    <x v="0"/>
    <x v="2"/>
    <x v="3"/>
    <x v="2"/>
    <x v="41"/>
    <x v="1"/>
    <x v="0"/>
    <x v="1"/>
    <x v="1"/>
  </r>
  <r>
    <x v="626"/>
    <x v="0"/>
    <x v="0"/>
    <x v="10"/>
    <x v="3"/>
    <x v="1"/>
    <x v="0"/>
    <x v="0"/>
    <x v="2"/>
    <x v="2"/>
    <x v="2"/>
    <x v="19"/>
    <x v="2"/>
    <x v="0"/>
    <x v="1"/>
    <x v="0"/>
  </r>
  <r>
    <x v="627"/>
    <x v="0"/>
    <x v="0"/>
    <x v="10"/>
    <x v="1"/>
    <x v="4"/>
    <x v="4"/>
    <x v="0"/>
    <x v="2"/>
    <x v="3"/>
    <x v="2"/>
    <x v="41"/>
    <x v="1"/>
    <x v="0"/>
    <x v="1"/>
    <x v="1"/>
  </r>
  <r>
    <x v="628"/>
    <x v="1"/>
    <x v="1"/>
    <x v="2"/>
    <x v="1"/>
    <x v="1"/>
    <x v="2"/>
    <x v="1"/>
    <x v="1"/>
    <x v="3"/>
    <x v="2"/>
    <x v="36"/>
    <x v="0"/>
    <x v="1"/>
    <x v="1"/>
    <x v="1"/>
  </r>
  <r>
    <x v="629"/>
    <x v="0"/>
    <x v="0"/>
    <x v="14"/>
    <x v="0"/>
    <x v="4"/>
    <x v="0"/>
    <x v="0"/>
    <x v="0"/>
    <x v="0"/>
    <x v="2"/>
    <x v="11"/>
    <x v="2"/>
    <x v="0"/>
    <x v="0"/>
    <x v="0"/>
  </r>
  <r>
    <x v="630"/>
    <x v="0"/>
    <x v="1"/>
    <x v="0"/>
    <x v="3"/>
    <x v="2"/>
    <x v="0"/>
    <x v="1"/>
    <x v="2"/>
    <x v="3"/>
    <x v="2"/>
    <x v="25"/>
    <x v="2"/>
    <x v="0"/>
    <x v="0"/>
    <x v="0"/>
  </r>
  <r>
    <x v="631"/>
    <x v="1"/>
    <x v="1"/>
    <x v="3"/>
    <x v="2"/>
    <x v="1"/>
    <x v="2"/>
    <x v="0"/>
    <x v="4"/>
    <x v="1"/>
    <x v="2"/>
    <x v="20"/>
    <x v="0"/>
    <x v="0"/>
    <x v="1"/>
    <x v="1"/>
  </r>
  <r>
    <x v="632"/>
    <x v="1"/>
    <x v="0"/>
    <x v="2"/>
    <x v="5"/>
    <x v="4"/>
    <x v="0"/>
    <x v="0"/>
    <x v="0"/>
    <x v="3"/>
    <x v="2"/>
    <x v="28"/>
    <x v="0"/>
    <x v="0"/>
    <x v="1"/>
    <x v="1"/>
  </r>
  <r>
    <x v="633"/>
    <x v="0"/>
    <x v="0"/>
    <x v="12"/>
    <x v="0"/>
    <x v="0"/>
    <x v="4"/>
    <x v="0"/>
    <x v="2"/>
    <x v="0"/>
    <x v="2"/>
    <x v="12"/>
    <x v="0"/>
    <x v="1"/>
    <x v="2"/>
    <x v="0"/>
  </r>
  <r>
    <x v="634"/>
    <x v="0"/>
    <x v="1"/>
    <x v="10"/>
    <x v="1"/>
    <x v="0"/>
    <x v="4"/>
    <x v="1"/>
    <x v="2"/>
    <x v="3"/>
    <x v="2"/>
    <x v="29"/>
    <x v="1"/>
    <x v="0"/>
    <x v="1"/>
    <x v="1"/>
  </r>
  <r>
    <x v="635"/>
    <x v="1"/>
    <x v="0"/>
    <x v="1"/>
    <x v="4"/>
    <x v="2"/>
    <x v="0"/>
    <x v="1"/>
    <x v="2"/>
    <x v="0"/>
    <x v="2"/>
    <x v="38"/>
    <x v="0"/>
    <x v="0"/>
    <x v="0"/>
    <x v="0"/>
  </r>
  <r>
    <x v="636"/>
    <x v="1"/>
    <x v="0"/>
    <x v="7"/>
    <x v="5"/>
    <x v="1"/>
    <x v="2"/>
    <x v="0"/>
    <x v="4"/>
    <x v="2"/>
    <x v="2"/>
    <x v="1"/>
    <x v="0"/>
    <x v="1"/>
    <x v="2"/>
    <x v="1"/>
  </r>
  <r>
    <x v="637"/>
    <x v="1"/>
    <x v="1"/>
    <x v="0"/>
    <x v="3"/>
    <x v="2"/>
    <x v="0"/>
    <x v="1"/>
    <x v="2"/>
    <x v="3"/>
    <x v="2"/>
    <x v="25"/>
    <x v="2"/>
    <x v="0"/>
    <x v="0"/>
    <x v="0"/>
  </r>
  <r>
    <x v="638"/>
    <x v="1"/>
    <x v="1"/>
    <x v="3"/>
    <x v="3"/>
    <x v="4"/>
    <x v="4"/>
    <x v="0"/>
    <x v="2"/>
    <x v="2"/>
    <x v="2"/>
    <x v="50"/>
    <x v="1"/>
    <x v="1"/>
    <x v="1"/>
    <x v="0"/>
  </r>
  <r>
    <x v="639"/>
    <x v="0"/>
    <x v="1"/>
    <x v="11"/>
    <x v="4"/>
    <x v="4"/>
    <x v="4"/>
    <x v="0"/>
    <x v="4"/>
    <x v="3"/>
    <x v="2"/>
    <x v="27"/>
    <x v="1"/>
    <x v="0"/>
    <x v="1"/>
    <x v="0"/>
  </r>
  <r>
    <x v="640"/>
    <x v="0"/>
    <x v="0"/>
    <x v="10"/>
    <x v="4"/>
    <x v="1"/>
    <x v="2"/>
    <x v="0"/>
    <x v="2"/>
    <x v="1"/>
    <x v="2"/>
    <x v="16"/>
    <x v="1"/>
    <x v="1"/>
    <x v="1"/>
    <x v="0"/>
  </r>
  <r>
    <x v="641"/>
    <x v="0"/>
    <x v="1"/>
    <x v="14"/>
    <x v="5"/>
    <x v="0"/>
    <x v="4"/>
    <x v="0"/>
    <x v="2"/>
    <x v="4"/>
    <x v="2"/>
    <x v="46"/>
    <x v="1"/>
    <x v="0"/>
    <x v="0"/>
    <x v="1"/>
  </r>
  <r>
    <x v="642"/>
    <x v="0"/>
    <x v="0"/>
    <x v="3"/>
    <x v="1"/>
    <x v="1"/>
    <x v="2"/>
    <x v="0"/>
    <x v="2"/>
    <x v="2"/>
    <x v="2"/>
    <x v="5"/>
    <x v="0"/>
    <x v="1"/>
    <x v="1"/>
    <x v="1"/>
  </r>
  <r>
    <x v="643"/>
    <x v="0"/>
    <x v="0"/>
    <x v="3"/>
    <x v="1"/>
    <x v="4"/>
    <x v="2"/>
    <x v="0"/>
    <x v="0"/>
    <x v="1"/>
    <x v="2"/>
    <x v="11"/>
    <x v="2"/>
    <x v="1"/>
    <x v="1"/>
    <x v="1"/>
  </r>
  <r>
    <x v="644"/>
    <x v="0"/>
    <x v="0"/>
    <x v="10"/>
    <x v="2"/>
    <x v="0"/>
    <x v="0"/>
    <x v="0"/>
    <x v="4"/>
    <x v="4"/>
    <x v="2"/>
    <x v="3"/>
    <x v="0"/>
    <x v="0"/>
    <x v="1"/>
    <x v="1"/>
  </r>
  <r>
    <x v="645"/>
    <x v="1"/>
    <x v="0"/>
    <x v="10"/>
    <x v="3"/>
    <x v="4"/>
    <x v="0"/>
    <x v="0"/>
    <x v="0"/>
    <x v="0"/>
    <x v="2"/>
    <x v="32"/>
    <x v="0"/>
    <x v="0"/>
    <x v="1"/>
    <x v="0"/>
  </r>
  <r>
    <x v="646"/>
    <x v="1"/>
    <x v="0"/>
    <x v="10"/>
    <x v="5"/>
    <x v="4"/>
    <x v="0"/>
    <x v="1"/>
    <x v="0"/>
    <x v="3"/>
    <x v="2"/>
    <x v="15"/>
    <x v="0"/>
    <x v="0"/>
    <x v="1"/>
    <x v="1"/>
  </r>
  <r>
    <x v="647"/>
    <x v="1"/>
    <x v="1"/>
    <x v="0"/>
    <x v="3"/>
    <x v="2"/>
    <x v="0"/>
    <x v="0"/>
    <x v="2"/>
    <x v="2"/>
    <x v="2"/>
    <x v="23"/>
    <x v="2"/>
    <x v="0"/>
    <x v="0"/>
    <x v="0"/>
  </r>
  <r>
    <x v="648"/>
    <x v="1"/>
    <x v="0"/>
    <x v="3"/>
    <x v="4"/>
    <x v="0"/>
    <x v="4"/>
    <x v="1"/>
    <x v="1"/>
    <x v="1"/>
    <x v="2"/>
    <x v="7"/>
    <x v="1"/>
    <x v="1"/>
    <x v="1"/>
    <x v="0"/>
  </r>
  <r>
    <x v="649"/>
    <x v="1"/>
    <x v="0"/>
    <x v="3"/>
    <x v="3"/>
    <x v="0"/>
    <x v="2"/>
    <x v="1"/>
    <x v="1"/>
    <x v="1"/>
    <x v="2"/>
    <x v="13"/>
    <x v="0"/>
    <x v="1"/>
    <x v="1"/>
    <x v="0"/>
  </r>
  <r>
    <x v="650"/>
    <x v="1"/>
    <x v="0"/>
    <x v="3"/>
    <x v="2"/>
    <x v="4"/>
    <x v="4"/>
    <x v="0"/>
    <x v="2"/>
    <x v="4"/>
    <x v="2"/>
    <x v="41"/>
    <x v="1"/>
    <x v="1"/>
    <x v="1"/>
    <x v="1"/>
  </r>
  <r>
    <x v="651"/>
    <x v="1"/>
    <x v="1"/>
    <x v="10"/>
    <x v="3"/>
    <x v="1"/>
    <x v="2"/>
    <x v="1"/>
    <x v="2"/>
    <x v="3"/>
    <x v="2"/>
    <x v="21"/>
    <x v="2"/>
    <x v="1"/>
    <x v="1"/>
    <x v="0"/>
  </r>
  <r>
    <x v="652"/>
    <x v="0"/>
    <x v="1"/>
    <x v="3"/>
    <x v="2"/>
    <x v="1"/>
    <x v="2"/>
    <x v="1"/>
    <x v="4"/>
    <x v="2"/>
    <x v="2"/>
    <x v="12"/>
    <x v="0"/>
    <x v="0"/>
    <x v="1"/>
    <x v="1"/>
  </r>
  <r>
    <x v="653"/>
    <x v="1"/>
    <x v="1"/>
    <x v="1"/>
    <x v="3"/>
    <x v="2"/>
    <x v="0"/>
    <x v="1"/>
    <x v="2"/>
    <x v="3"/>
    <x v="2"/>
    <x v="23"/>
    <x v="2"/>
    <x v="1"/>
    <x v="0"/>
    <x v="0"/>
  </r>
  <r>
    <x v="654"/>
    <x v="1"/>
    <x v="1"/>
    <x v="0"/>
    <x v="3"/>
    <x v="2"/>
    <x v="0"/>
    <x v="1"/>
    <x v="2"/>
    <x v="3"/>
    <x v="2"/>
    <x v="23"/>
    <x v="2"/>
    <x v="1"/>
    <x v="0"/>
    <x v="0"/>
  </r>
  <r>
    <x v="655"/>
    <x v="0"/>
    <x v="0"/>
    <x v="0"/>
    <x v="1"/>
    <x v="1"/>
    <x v="1"/>
    <x v="0"/>
    <x v="1"/>
    <x v="0"/>
    <x v="2"/>
    <x v="23"/>
    <x v="2"/>
    <x v="0"/>
    <x v="0"/>
    <x v="1"/>
  </r>
  <r>
    <x v="656"/>
    <x v="0"/>
    <x v="1"/>
    <x v="10"/>
    <x v="4"/>
    <x v="2"/>
    <x v="2"/>
    <x v="1"/>
    <x v="2"/>
    <x v="2"/>
    <x v="2"/>
    <x v="5"/>
    <x v="0"/>
    <x v="0"/>
    <x v="1"/>
    <x v="0"/>
  </r>
  <r>
    <x v="657"/>
    <x v="0"/>
    <x v="1"/>
    <x v="3"/>
    <x v="0"/>
    <x v="1"/>
    <x v="0"/>
    <x v="0"/>
    <x v="1"/>
    <x v="0"/>
    <x v="2"/>
    <x v="20"/>
    <x v="0"/>
    <x v="0"/>
    <x v="1"/>
    <x v="0"/>
  </r>
  <r>
    <x v="658"/>
    <x v="1"/>
    <x v="1"/>
    <x v="14"/>
    <x v="4"/>
    <x v="0"/>
    <x v="0"/>
    <x v="0"/>
    <x v="1"/>
    <x v="1"/>
    <x v="2"/>
    <x v="13"/>
    <x v="0"/>
    <x v="1"/>
    <x v="0"/>
    <x v="0"/>
  </r>
  <r>
    <x v="659"/>
    <x v="1"/>
    <x v="0"/>
    <x v="10"/>
    <x v="5"/>
    <x v="0"/>
    <x v="4"/>
    <x v="0"/>
    <x v="2"/>
    <x v="4"/>
    <x v="2"/>
    <x v="18"/>
    <x v="1"/>
    <x v="0"/>
    <x v="1"/>
    <x v="1"/>
  </r>
  <r>
    <x v="660"/>
    <x v="0"/>
    <x v="0"/>
    <x v="10"/>
    <x v="0"/>
    <x v="4"/>
    <x v="2"/>
    <x v="0"/>
    <x v="0"/>
    <x v="1"/>
    <x v="2"/>
    <x v="4"/>
    <x v="0"/>
    <x v="1"/>
    <x v="1"/>
    <x v="0"/>
  </r>
  <r>
    <x v="661"/>
    <x v="1"/>
    <x v="1"/>
    <x v="0"/>
    <x v="3"/>
    <x v="2"/>
    <x v="0"/>
    <x v="1"/>
    <x v="2"/>
    <x v="0"/>
    <x v="2"/>
    <x v="26"/>
    <x v="2"/>
    <x v="1"/>
    <x v="0"/>
    <x v="0"/>
  </r>
  <r>
    <x v="662"/>
    <x v="1"/>
    <x v="0"/>
    <x v="11"/>
    <x v="0"/>
    <x v="1"/>
    <x v="2"/>
    <x v="1"/>
    <x v="4"/>
    <x v="3"/>
    <x v="2"/>
    <x v="20"/>
    <x v="0"/>
    <x v="0"/>
    <x v="1"/>
    <x v="0"/>
  </r>
  <r>
    <x v="663"/>
    <x v="0"/>
    <x v="0"/>
    <x v="3"/>
    <x v="2"/>
    <x v="4"/>
    <x v="2"/>
    <x v="0"/>
    <x v="1"/>
    <x v="0"/>
    <x v="2"/>
    <x v="15"/>
    <x v="0"/>
    <x v="0"/>
    <x v="1"/>
    <x v="1"/>
  </r>
  <r>
    <x v="664"/>
    <x v="0"/>
    <x v="0"/>
    <x v="2"/>
    <x v="3"/>
    <x v="4"/>
    <x v="0"/>
    <x v="0"/>
    <x v="0"/>
    <x v="3"/>
    <x v="2"/>
    <x v="8"/>
    <x v="0"/>
    <x v="1"/>
    <x v="1"/>
    <x v="0"/>
  </r>
  <r>
    <x v="665"/>
    <x v="0"/>
    <x v="1"/>
    <x v="12"/>
    <x v="0"/>
    <x v="4"/>
    <x v="4"/>
    <x v="0"/>
    <x v="3"/>
    <x v="0"/>
    <x v="2"/>
    <x v="8"/>
    <x v="0"/>
    <x v="0"/>
    <x v="2"/>
    <x v="0"/>
  </r>
  <r>
    <x v="666"/>
    <x v="0"/>
    <x v="0"/>
    <x v="10"/>
    <x v="0"/>
    <x v="1"/>
    <x v="0"/>
    <x v="0"/>
    <x v="1"/>
    <x v="1"/>
    <x v="2"/>
    <x v="30"/>
    <x v="0"/>
    <x v="1"/>
    <x v="1"/>
    <x v="0"/>
  </r>
  <r>
    <x v="667"/>
    <x v="0"/>
    <x v="0"/>
    <x v="0"/>
    <x v="2"/>
    <x v="2"/>
    <x v="2"/>
    <x v="1"/>
    <x v="2"/>
    <x v="4"/>
    <x v="2"/>
    <x v="33"/>
    <x v="1"/>
    <x v="0"/>
    <x v="0"/>
    <x v="1"/>
  </r>
  <r>
    <x v="668"/>
    <x v="0"/>
    <x v="0"/>
    <x v="10"/>
    <x v="3"/>
    <x v="4"/>
    <x v="2"/>
    <x v="0"/>
    <x v="0"/>
    <x v="0"/>
    <x v="2"/>
    <x v="8"/>
    <x v="0"/>
    <x v="0"/>
    <x v="1"/>
    <x v="0"/>
  </r>
  <r>
    <x v="669"/>
    <x v="0"/>
    <x v="0"/>
    <x v="10"/>
    <x v="4"/>
    <x v="2"/>
    <x v="2"/>
    <x v="0"/>
    <x v="2"/>
    <x v="2"/>
    <x v="2"/>
    <x v="5"/>
    <x v="0"/>
    <x v="0"/>
    <x v="1"/>
    <x v="0"/>
  </r>
  <r>
    <x v="670"/>
    <x v="0"/>
    <x v="1"/>
    <x v="3"/>
    <x v="4"/>
    <x v="1"/>
    <x v="2"/>
    <x v="0"/>
    <x v="1"/>
    <x v="4"/>
    <x v="2"/>
    <x v="14"/>
    <x v="1"/>
    <x v="0"/>
    <x v="1"/>
    <x v="0"/>
  </r>
  <r>
    <x v="671"/>
    <x v="1"/>
    <x v="0"/>
    <x v="10"/>
    <x v="0"/>
    <x v="4"/>
    <x v="2"/>
    <x v="0"/>
    <x v="0"/>
    <x v="1"/>
    <x v="2"/>
    <x v="4"/>
    <x v="0"/>
    <x v="1"/>
    <x v="1"/>
    <x v="0"/>
  </r>
  <r>
    <x v="672"/>
    <x v="1"/>
    <x v="0"/>
    <x v="0"/>
    <x v="3"/>
    <x v="2"/>
    <x v="0"/>
    <x v="0"/>
    <x v="2"/>
    <x v="2"/>
    <x v="2"/>
    <x v="25"/>
    <x v="2"/>
    <x v="0"/>
    <x v="0"/>
    <x v="0"/>
  </r>
  <r>
    <x v="673"/>
    <x v="1"/>
    <x v="0"/>
    <x v="3"/>
    <x v="5"/>
    <x v="4"/>
    <x v="2"/>
    <x v="0"/>
    <x v="0"/>
    <x v="1"/>
    <x v="2"/>
    <x v="11"/>
    <x v="2"/>
    <x v="1"/>
    <x v="1"/>
    <x v="1"/>
  </r>
  <r>
    <x v="674"/>
    <x v="0"/>
    <x v="0"/>
    <x v="1"/>
    <x v="4"/>
    <x v="2"/>
    <x v="0"/>
    <x v="0"/>
    <x v="2"/>
    <x v="3"/>
    <x v="2"/>
    <x v="28"/>
    <x v="0"/>
    <x v="0"/>
    <x v="0"/>
    <x v="0"/>
  </r>
  <r>
    <x v="675"/>
    <x v="0"/>
    <x v="1"/>
    <x v="11"/>
    <x v="1"/>
    <x v="0"/>
    <x v="4"/>
    <x v="0"/>
    <x v="3"/>
    <x v="0"/>
    <x v="2"/>
    <x v="3"/>
    <x v="0"/>
    <x v="0"/>
    <x v="1"/>
    <x v="1"/>
  </r>
  <r>
    <x v="676"/>
    <x v="0"/>
    <x v="1"/>
    <x v="0"/>
    <x v="4"/>
    <x v="1"/>
    <x v="1"/>
    <x v="0"/>
    <x v="1"/>
    <x v="0"/>
    <x v="2"/>
    <x v="15"/>
    <x v="0"/>
    <x v="0"/>
    <x v="0"/>
    <x v="0"/>
  </r>
  <r>
    <x v="677"/>
    <x v="0"/>
    <x v="1"/>
    <x v="10"/>
    <x v="5"/>
    <x v="4"/>
    <x v="0"/>
    <x v="1"/>
    <x v="0"/>
    <x v="0"/>
    <x v="2"/>
    <x v="15"/>
    <x v="0"/>
    <x v="0"/>
    <x v="1"/>
    <x v="1"/>
  </r>
  <r>
    <x v="678"/>
    <x v="0"/>
    <x v="1"/>
    <x v="2"/>
    <x v="2"/>
    <x v="0"/>
    <x v="4"/>
    <x v="1"/>
    <x v="2"/>
    <x v="1"/>
    <x v="0"/>
    <x v="24"/>
    <x v="1"/>
    <x v="0"/>
    <x v="1"/>
    <x v="1"/>
  </r>
  <r>
    <x v="679"/>
    <x v="0"/>
    <x v="1"/>
    <x v="10"/>
    <x v="5"/>
    <x v="0"/>
    <x v="4"/>
    <x v="0"/>
    <x v="2"/>
    <x v="4"/>
    <x v="2"/>
    <x v="2"/>
    <x v="1"/>
    <x v="0"/>
    <x v="1"/>
    <x v="1"/>
  </r>
  <r>
    <x v="680"/>
    <x v="0"/>
    <x v="0"/>
    <x v="10"/>
    <x v="3"/>
    <x v="1"/>
    <x v="0"/>
    <x v="1"/>
    <x v="1"/>
    <x v="3"/>
    <x v="2"/>
    <x v="6"/>
    <x v="2"/>
    <x v="0"/>
    <x v="1"/>
    <x v="0"/>
  </r>
  <r>
    <x v="681"/>
    <x v="1"/>
    <x v="0"/>
    <x v="2"/>
    <x v="5"/>
    <x v="4"/>
    <x v="0"/>
    <x v="1"/>
    <x v="0"/>
    <x v="0"/>
    <x v="2"/>
    <x v="15"/>
    <x v="0"/>
    <x v="0"/>
    <x v="1"/>
    <x v="1"/>
  </r>
  <r>
    <x v="682"/>
    <x v="0"/>
    <x v="1"/>
    <x v="6"/>
    <x v="1"/>
    <x v="3"/>
    <x v="1"/>
    <x v="1"/>
    <x v="2"/>
    <x v="0"/>
    <x v="2"/>
    <x v="31"/>
    <x v="0"/>
    <x v="0"/>
    <x v="0"/>
    <x v="1"/>
  </r>
  <r>
    <x v="683"/>
    <x v="0"/>
    <x v="0"/>
    <x v="8"/>
    <x v="2"/>
    <x v="1"/>
    <x v="2"/>
    <x v="0"/>
    <x v="4"/>
    <x v="1"/>
    <x v="2"/>
    <x v="8"/>
    <x v="0"/>
    <x v="0"/>
    <x v="1"/>
    <x v="1"/>
  </r>
  <r>
    <x v="684"/>
    <x v="1"/>
    <x v="0"/>
    <x v="10"/>
    <x v="5"/>
    <x v="0"/>
    <x v="0"/>
    <x v="1"/>
    <x v="2"/>
    <x v="0"/>
    <x v="2"/>
    <x v="0"/>
    <x v="0"/>
    <x v="0"/>
    <x v="1"/>
    <x v="1"/>
  </r>
  <r>
    <x v="685"/>
    <x v="1"/>
    <x v="0"/>
    <x v="10"/>
    <x v="1"/>
    <x v="4"/>
    <x v="4"/>
    <x v="0"/>
    <x v="2"/>
    <x v="2"/>
    <x v="2"/>
    <x v="39"/>
    <x v="0"/>
    <x v="1"/>
    <x v="1"/>
    <x v="1"/>
  </r>
  <r>
    <x v="686"/>
    <x v="0"/>
    <x v="0"/>
    <x v="0"/>
    <x v="0"/>
    <x v="1"/>
    <x v="1"/>
    <x v="0"/>
    <x v="1"/>
    <x v="3"/>
    <x v="2"/>
    <x v="36"/>
    <x v="0"/>
    <x v="1"/>
    <x v="0"/>
    <x v="0"/>
  </r>
  <r>
    <x v="687"/>
    <x v="1"/>
    <x v="1"/>
    <x v="1"/>
    <x v="3"/>
    <x v="1"/>
    <x v="0"/>
    <x v="0"/>
    <x v="2"/>
    <x v="2"/>
    <x v="2"/>
    <x v="25"/>
    <x v="2"/>
    <x v="0"/>
    <x v="0"/>
    <x v="0"/>
  </r>
  <r>
    <x v="688"/>
    <x v="1"/>
    <x v="1"/>
    <x v="10"/>
    <x v="3"/>
    <x v="0"/>
    <x v="0"/>
    <x v="1"/>
    <x v="2"/>
    <x v="0"/>
    <x v="2"/>
    <x v="25"/>
    <x v="2"/>
    <x v="0"/>
    <x v="1"/>
    <x v="0"/>
  </r>
  <r>
    <x v="689"/>
    <x v="0"/>
    <x v="1"/>
    <x v="1"/>
    <x v="3"/>
    <x v="2"/>
    <x v="0"/>
    <x v="0"/>
    <x v="2"/>
    <x v="2"/>
    <x v="2"/>
    <x v="22"/>
    <x v="2"/>
    <x v="0"/>
    <x v="0"/>
    <x v="0"/>
  </r>
  <r>
    <x v="690"/>
    <x v="1"/>
    <x v="0"/>
    <x v="12"/>
    <x v="0"/>
    <x v="0"/>
    <x v="4"/>
    <x v="1"/>
    <x v="1"/>
    <x v="1"/>
    <x v="2"/>
    <x v="12"/>
    <x v="0"/>
    <x v="0"/>
    <x v="2"/>
    <x v="0"/>
  </r>
  <r>
    <x v="691"/>
    <x v="0"/>
    <x v="1"/>
    <x v="14"/>
    <x v="0"/>
    <x v="0"/>
    <x v="0"/>
    <x v="0"/>
    <x v="0"/>
    <x v="0"/>
    <x v="2"/>
    <x v="17"/>
    <x v="2"/>
    <x v="1"/>
    <x v="0"/>
    <x v="0"/>
  </r>
  <r>
    <x v="692"/>
    <x v="0"/>
    <x v="1"/>
    <x v="3"/>
    <x v="0"/>
    <x v="0"/>
    <x v="2"/>
    <x v="0"/>
    <x v="1"/>
    <x v="1"/>
    <x v="2"/>
    <x v="20"/>
    <x v="0"/>
    <x v="1"/>
    <x v="1"/>
    <x v="0"/>
  </r>
  <r>
    <x v="693"/>
    <x v="1"/>
    <x v="0"/>
    <x v="10"/>
    <x v="5"/>
    <x v="0"/>
    <x v="0"/>
    <x v="1"/>
    <x v="2"/>
    <x v="0"/>
    <x v="2"/>
    <x v="3"/>
    <x v="0"/>
    <x v="1"/>
    <x v="1"/>
    <x v="1"/>
  </r>
  <r>
    <x v="694"/>
    <x v="1"/>
    <x v="0"/>
    <x v="2"/>
    <x v="1"/>
    <x v="4"/>
    <x v="2"/>
    <x v="1"/>
    <x v="0"/>
    <x v="0"/>
    <x v="2"/>
    <x v="4"/>
    <x v="0"/>
    <x v="1"/>
    <x v="1"/>
    <x v="1"/>
  </r>
  <r>
    <x v="695"/>
    <x v="0"/>
    <x v="1"/>
    <x v="2"/>
    <x v="2"/>
    <x v="1"/>
    <x v="2"/>
    <x v="0"/>
    <x v="2"/>
    <x v="0"/>
    <x v="2"/>
    <x v="20"/>
    <x v="0"/>
    <x v="0"/>
    <x v="1"/>
    <x v="1"/>
  </r>
  <r>
    <x v="696"/>
    <x v="1"/>
    <x v="1"/>
    <x v="10"/>
    <x v="3"/>
    <x v="1"/>
    <x v="2"/>
    <x v="1"/>
    <x v="2"/>
    <x v="3"/>
    <x v="2"/>
    <x v="25"/>
    <x v="2"/>
    <x v="0"/>
    <x v="1"/>
    <x v="0"/>
  </r>
  <r>
    <x v="697"/>
    <x v="0"/>
    <x v="0"/>
    <x v="1"/>
    <x v="3"/>
    <x v="3"/>
    <x v="1"/>
    <x v="1"/>
    <x v="2"/>
    <x v="0"/>
    <x v="2"/>
    <x v="26"/>
    <x v="2"/>
    <x v="0"/>
    <x v="0"/>
    <x v="0"/>
  </r>
  <r>
    <x v="698"/>
    <x v="0"/>
    <x v="1"/>
    <x v="6"/>
    <x v="4"/>
    <x v="3"/>
    <x v="1"/>
    <x v="0"/>
    <x v="2"/>
    <x v="3"/>
    <x v="2"/>
    <x v="38"/>
    <x v="0"/>
    <x v="0"/>
    <x v="0"/>
    <x v="0"/>
  </r>
  <r>
    <x v="699"/>
    <x v="1"/>
    <x v="1"/>
    <x v="8"/>
    <x v="3"/>
    <x v="1"/>
    <x v="2"/>
    <x v="1"/>
    <x v="2"/>
    <x v="0"/>
    <x v="2"/>
    <x v="1"/>
    <x v="0"/>
    <x v="1"/>
    <x v="1"/>
    <x v="0"/>
  </r>
  <r>
    <x v="700"/>
    <x v="0"/>
    <x v="0"/>
    <x v="3"/>
    <x v="5"/>
    <x v="0"/>
    <x v="4"/>
    <x v="0"/>
    <x v="1"/>
    <x v="3"/>
    <x v="2"/>
    <x v="14"/>
    <x v="1"/>
    <x v="0"/>
    <x v="1"/>
    <x v="1"/>
  </r>
  <r>
    <x v="701"/>
    <x v="1"/>
    <x v="1"/>
    <x v="1"/>
    <x v="3"/>
    <x v="2"/>
    <x v="0"/>
    <x v="0"/>
    <x v="2"/>
    <x v="2"/>
    <x v="2"/>
    <x v="22"/>
    <x v="2"/>
    <x v="0"/>
    <x v="0"/>
    <x v="0"/>
  </r>
  <r>
    <x v="702"/>
    <x v="0"/>
    <x v="1"/>
    <x v="7"/>
    <x v="0"/>
    <x v="2"/>
    <x v="2"/>
    <x v="0"/>
    <x v="3"/>
    <x v="2"/>
    <x v="2"/>
    <x v="30"/>
    <x v="0"/>
    <x v="1"/>
    <x v="2"/>
    <x v="0"/>
  </r>
  <r>
    <x v="703"/>
    <x v="1"/>
    <x v="0"/>
    <x v="14"/>
    <x v="3"/>
    <x v="4"/>
    <x v="0"/>
    <x v="0"/>
    <x v="0"/>
    <x v="3"/>
    <x v="2"/>
    <x v="6"/>
    <x v="2"/>
    <x v="0"/>
    <x v="0"/>
    <x v="0"/>
  </r>
  <r>
    <x v="704"/>
    <x v="1"/>
    <x v="0"/>
    <x v="0"/>
    <x v="3"/>
    <x v="0"/>
    <x v="2"/>
    <x v="0"/>
    <x v="1"/>
    <x v="1"/>
    <x v="2"/>
    <x v="0"/>
    <x v="0"/>
    <x v="1"/>
    <x v="0"/>
    <x v="0"/>
  </r>
  <r>
    <x v="705"/>
    <x v="0"/>
    <x v="0"/>
    <x v="3"/>
    <x v="5"/>
    <x v="0"/>
    <x v="4"/>
    <x v="0"/>
    <x v="1"/>
    <x v="4"/>
    <x v="2"/>
    <x v="14"/>
    <x v="1"/>
    <x v="0"/>
    <x v="1"/>
    <x v="1"/>
  </r>
  <r>
    <x v="706"/>
    <x v="1"/>
    <x v="0"/>
    <x v="10"/>
    <x v="3"/>
    <x v="1"/>
    <x v="0"/>
    <x v="1"/>
    <x v="1"/>
    <x v="3"/>
    <x v="2"/>
    <x v="6"/>
    <x v="2"/>
    <x v="1"/>
    <x v="1"/>
    <x v="0"/>
  </r>
  <r>
    <x v="707"/>
    <x v="0"/>
    <x v="0"/>
    <x v="3"/>
    <x v="0"/>
    <x v="1"/>
    <x v="0"/>
    <x v="0"/>
    <x v="1"/>
    <x v="0"/>
    <x v="2"/>
    <x v="20"/>
    <x v="0"/>
    <x v="1"/>
    <x v="1"/>
    <x v="0"/>
  </r>
  <r>
    <x v="708"/>
    <x v="0"/>
    <x v="1"/>
    <x v="3"/>
    <x v="2"/>
    <x v="0"/>
    <x v="4"/>
    <x v="0"/>
    <x v="3"/>
    <x v="4"/>
    <x v="2"/>
    <x v="2"/>
    <x v="1"/>
    <x v="0"/>
    <x v="1"/>
    <x v="1"/>
  </r>
  <r>
    <x v="709"/>
    <x v="1"/>
    <x v="0"/>
    <x v="3"/>
    <x v="4"/>
    <x v="0"/>
    <x v="4"/>
    <x v="0"/>
    <x v="1"/>
    <x v="4"/>
    <x v="2"/>
    <x v="14"/>
    <x v="1"/>
    <x v="0"/>
    <x v="1"/>
    <x v="0"/>
  </r>
  <r>
    <x v="710"/>
    <x v="0"/>
    <x v="1"/>
    <x v="10"/>
    <x v="3"/>
    <x v="2"/>
    <x v="2"/>
    <x v="0"/>
    <x v="2"/>
    <x v="2"/>
    <x v="2"/>
    <x v="21"/>
    <x v="2"/>
    <x v="1"/>
    <x v="1"/>
    <x v="0"/>
  </r>
  <r>
    <x v="711"/>
    <x v="0"/>
    <x v="0"/>
    <x v="3"/>
    <x v="4"/>
    <x v="1"/>
    <x v="2"/>
    <x v="0"/>
    <x v="1"/>
    <x v="4"/>
    <x v="2"/>
    <x v="7"/>
    <x v="1"/>
    <x v="0"/>
    <x v="1"/>
    <x v="0"/>
  </r>
  <r>
    <x v="712"/>
    <x v="0"/>
    <x v="0"/>
    <x v="0"/>
    <x v="4"/>
    <x v="2"/>
    <x v="2"/>
    <x v="1"/>
    <x v="2"/>
    <x v="1"/>
    <x v="2"/>
    <x v="14"/>
    <x v="1"/>
    <x v="0"/>
    <x v="0"/>
    <x v="0"/>
  </r>
  <r>
    <x v="713"/>
    <x v="1"/>
    <x v="0"/>
    <x v="3"/>
    <x v="4"/>
    <x v="0"/>
    <x v="0"/>
    <x v="0"/>
    <x v="1"/>
    <x v="1"/>
    <x v="2"/>
    <x v="13"/>
    <x v="0"/>
    <x v="0"/>
    <x v="1"/>
    <x v="0"/>
  </r>
  <r>
    <x v="714"/>
    <x v="0"/>
    <x v="1"/>
    <x v="0"/>
    <x v="3"/>
    <x v="2"/>
    <x v="0"/>
    <x v="0"/>
    <x v="2"/>
    <x v="2"/>
    <x v="2"/>
    <x v="26"/>
    <x v="2"/>
    <x v="1"/>
    <x v="0"/>
    <x v="0"/>
  </r>
  <r>
    <x v="715"/>
    <x v="0"/>
    <x v="0"/>
    <x v="10"/>
    <x v="0"/>
    <x v="4"/>
    <x v="2"/>
    <x v="0"/>
    <x v="0"/>
    <x v="1"/>
    <x v="2"/>
    <x v="34"/>
    <x v="0"/>
    <x v="1"/>
    <x v="1"/>
    <x v="0"/>
  </r>
  <r>
    <x v="716"/>
    <x v="1"/>
    <x v="0"/>
    <x v="2"/>
    <x v="3"/>
    <x v="4"/>
    <x v="0"/>
    <x v="1"/>
    <x v="0"/>
    <x v="0"/>
    <x v="2"/>
    <x v="8"/>
    <x v="0"/>
    <x v="0"/>
    <x v="1"/>
    <x v="0"/>
  </r>
  <r>
    <x v="717"/>
    <x v="1"/>
    <x v="1"/>
    <x v="8"/>
    <x v="5"/>
    <x v="0"/>
    <x v="4"/>
    <x v="0"/>
    <x v="1"/>
    <x v="3"/>
    <x v="2"/>
    <x v="13"/>
    <x v="0"/>
    <x v="1"/>
    <x v="1"/>
    <x v="1"/>
  </r>
  <r>
    <x v="718"/>
    <x v="0"/>
    <x v="1"/>
    <x v="3"/>
    <x v="5"/>
    <x v="4"/>
    <x v="2"/>
    <x v="0"/>
    <x v="0"/>
    <x v="1"/>
    <x v="2"/>
    <x v="4"/>
    <x v="0"/>
    <x v="1"/>
    <x v="1"/>
    <x v="1"/>
  </r>
  <r>
    <x v="719"/>
    <x v="0"/>
    <x v="0"/>
    <x v="3"/>
    <x v="2"/>
    <x v="4"/>
    <x v="2"/>
    <x v="0"/>
    <x v="2"/>
    <x v="0"/>
    <x v="2"/>
    <x v="34"/>
    <x v="0"/>
    <x v="0"/>
    <x v="1"/>
    <x v="1"/>
  </r>
  <r>
    <x v="720"/>
    <x v="1"/>
    <x v="0"/>
    <x v="0"/>
    <x v="2"/>
    <x v="2"/>
    <x v="2"/>
    <x v="1"/>
    <x v="4"/>
    <x v="1"/>
    <x v="2"/>
    <x v="2"/>
    <x v="1"/>
    <x v="1"/>
    <x v="0"/>
    <x v="1"/>
  </r>
  <r>
    <x v="721"/>
    <x v="1"/>
    <x v="1"/>
    <x v="15"/>
    <x v="5"/>
    <x v="0"/>
    <x v="4"/>
    <x v="0"/>
    <x v="3"/>
    <x v="2"/>
    <x v="2"/>
    <x v="0"/>
    <x v="0"/>
    <x v="1"/>
    <x v="2"/>
    <x v="1"/>
  </r>
  <r>
    <x v="722"/>
    <x v="1"/>
    <x v="0"/>
    <x v="3"/>
    <x v="1"/>
    <x v="4"/>
    <x v="4"/>
    <x v="1"/>
    <x v="2"/>
    <x v="3"/>
    <x v="2"/>
    <x v="39"/>
    <x v="0"/>
    <x v="0"/>
    <x v="1"/>
    <x v="1"/>
  </r>
  <r>
    <x v="723"/>
    <x v="1"/>
    <x v="0"/>
    <x v="2"/>
    <x v="4"/>
    <x v="3"/>
    <x v="0"/>
    <x v="0"/>
    <x v="2"/>
    <x v="2"/>
    <x v="2"/>
    <x v="38"/>
    <x v="0"/>
    <x v="0"/>
    <x v="1"/>
    <x v="0"/>
  </r>
  <r>
    <x v="724"/>
    <x v="0"/>
    <x v="1"/>
    <x v="1"/>
    <x v="4"/>
    <x v="2"/>
    <x v="0"/>
    <x v="0"/>
    <x v="2"/>
    <x v="3"/>
    <x v="2"/>
    <x v="38"/>
    <x v="0"/>
    <x v="0"/>
    <x v="0"/>
    <x v="0"/>
  </r>
  <r>
    <x v="725"/>
    <x v="0"/>
    <x v="1"/>
    <x v="12"/>
    <x v="4"/>
    <x v="4"/>
    <x v="4"/>
    <x v="0"/>
    <x v="4"/>
    <x v="0"/>
    <x v="2"/>
    <x v="0"/>
    <x v="0"/>
    <x v="1"/>
    <x v="2"/>
    <x v="0"/>
  </r>
  <r>
    <x v="726"/>
    <x v="0"/>
    <x v="1"/>
    <x v="6"/>
    <x v="4"/>
    <x v="2"/>
    <x v="3"/>
    <x v="1"/>
    <x v="2"/>
    <x v="0"/>
    <x v="2"/>
    <x v="39"/>
    <x v="0"/>
    <x v="0"/>
    <x v="0"/>
    <x v="0"/>
  </r>
  <r>
    <x v="727"/>
    <x v="0"/>
    <x v="1"/>
    <x v="3"/>
    <x v="0"/>
    <x v="4"/>
    <x v="2"/>
    <x v="0"/>
    <x v="1"/>
    <x v="0"/>
    <x v="2"/>
    <x v="30"/>
    <x v="0"/>
    <x v="1"/>
    <x v="1"/>
    <x v="0"/>
  </r>
  <r>
    <x v="728"/>
    <x v="0"/>
    <x v="1"/>
    <x v="0"/>
    <x v="3"/>
    <x v="2"/>
    <x v="0"/>
    <x v="0"/>
    <x v="2"/>
    <x v="2"/>
    <x v="2"/>
    <x v="40"/>
    <x v="2"/>
    <x v="0"/>
    <x v="0"/>
    <x v="0"/>
  </r>
  <r>
    <x v="729"/>
    <x v="0"/>
    <x v="0"/>
    <x v="10"/>
    <x v="1"/>
    <x v="0"/>
    <x v="2"/>
    <x v="0"/>
    <x v="1"/>
    <x v="0"/>
    <x v="2"/>
    <x v="28"/>
    <x v="0"/>
    <x v="1"/>
    <x v="1"/>
    <x v="1"/>
  </r>
  <r>
    <x v="730"/>
    <x v="1"/>
    <x v="0"/>
    <x v="10"/>
    <x v="5"/>
    <x v="0"/>
    <x v="0"/>
    <x v="0"/>
    <x v="2"/>
    <x v="1"/>
    <x v="2"/>
    <x v="3"/>
    <x v="0"/>
    <x v="1"/>
    <x v="1"/>
    <x v="1"/>
  </r>
  <r>
    <x v="731"/>
    <x v="0"/>
    <x v="1"/>
    <x v="10"/>
    <x v="4"/>
    <x v="2"/>
    <x v="2"/>
    <x v="1"/>
    <x v="2"/>
    <x v="3"/>
    <x v="2"/>
    <x v="38"/>
    <x v="0"/>
    <x v="1"/>
    <x v="1"/>
    <x v="0"/>
  </r>
  <r>
    <x v="732"/>
    <x v="1"/>
    <x v="0"/>
    <x v="10"/>
    <x v="3"/>
    <x v="4"/>
    <x v="2"/>
    <x v="0"/>
    <x v="1"/>
    <x v="1"/>
    <x v="2"/>
    <x v="13"/>
    <x v="0"/>
    <x v="1"/>
    <x v="1"/>
    <x v="0"/>
  </r>
  <r>
    <x v="733"/>
    <x v="1"/>
    <x v="1"/>
    <x v="12"/>
    <x v="0"/>
    <x v="0"/>
    <x v="4"/>
    <x v="1"/>
    <x v="3"/>
    <x v="0"/>
    <x v="2"/>
    <x v="20"/>
    <x v="0"/>
    <x v="0"/>
    <x v="2"/>
    <x v="0"/>
  </r>
  <r>
    <x v="734"/>
    <x v="1"/>
    <x v="0"/>
    <x v="12"/>
    <x v="0"/>
    <x v="0"/>
    <x v="4"/>
    <x v="1"/>
    <x v="4"/>
    <x v="0"/>
    <x v="2"/>
    <x v="12"/>
    <x v="0"/>
    <x v="1"/>
    <x v="2"/>
    <x v="0"/>
  </r>
  <r>
    <x v="735"/>
    <x v="1"/>
    <x v="0"/>
    <x v="1"/>
    <x v="3"/>
    <x v="1"/>
    <x v="0"/>
    <x v="0"/>
    <x v="1"/>
    <x v="2"/>
    <x v="2"/>
    <x v="22"/>
    <x v="2"/>
    <x v="0"/>
    <x v="0"/>
    <x v="0"/>
  </r>
  <r>
    <x v="736"/>
    <x v="0"/>
    <x v="1"/>
    <x v="0"/>
    <x v="3"/>
    <x v="2"/>
    <x v="0"/>
    <x v="0"/>
    <x v="1"/>
    <x v="2"/>
    <x v="2"/>
    <x v="23"/>
    <x v="2"/>
    <x v="0"/>
    <x v="0"/>
    <x v="0"/>
  </r>
  <r>
    <x v="737"/>
    <x v="0"/>
    <x v="1"/>
    <x v="3"/>
    <x v="4"/>
    <x v="3"/>
    <x v="0"/>
    <x v="1"/>
    <x v="2"/>
    <x v="3"/>
    <x v="2"/>
    <x v="38"/>
    <x v="0"/>
    <x v="0"/>
    <x v="1"/>
    <x v="0"/>
  </r>
  <r>
    <x v="738"/>
    <x v="1"/>
    <x v="0"/>
    <x v="0"/>
    <x v="4"/>
    <x v="1"/>
    <x v="1"/>
    <x v="1"/>
    <x v="1"/>
    <x v="3"/>
    <x v="2"/>
    <x v="15"/>
    <x v="0"/>
    <x v="1"/>
    <x v="0"/>
    <x v="0"/>
  </r>
  <r>
    <x v="739"/>
    <x v="0"/>
    <x v="0"/>
    <x v="10"/>
    <x v="4"/>
    <x v="1"/>
    <x v="2"/>
    <x v="0"/>
    <x v="1"/>
    <x v="4"/>
    <x v="2"/>
    <x v="10"/>
    <x v="0"/>
    <x v="0"/>
    <x v="1"/>
    <x v="0"/>
  </r>
  <r>
    <x v="740"/>
    <x v="0"/>
    <x v="1"/>
    <x v="0"/>
    <x v="5"/>
    <x v="1"/>
    <x v="1"/>
    <x v="1"/>
    <x v="0"/>
    <x v="0"/>
    <x v="2"/>
    <x v="25"/>
    <x v="2"/>
    <x v="0"/>
    <x v="0"/>
    <x v="1"/>
  </r>
  <r>
    <x v="741"/>
    <x v="0"/>
    <x v="0"/>
    <x v="0"/>
    <x v="0"/>
    <x v="1"/>
    <x v="1"/>
    <x v="0"/>
    <x v="1"/>
    <x v="3"/>
    <x v="2"/>
    <x v="28"/>
    <x v="0"/>
    <x v="1"/>
    <x v="0"/>
    <x v="0"/>
  </r>
  <r>
    <x v="742"/>
    <x v="1"/>
    <x v="1"/>
    <x v="1"/>
    <x v="3"/>
    <x v="2"/>
    <x v="0"/>
    <x v="0"/>
    <x v="2"/>
    <x v="2"/>
    <x v="2"/>
    <x v="25"/>
    <x v="2"/>
    <x v="0"/>
    <x v="0"/>
    <x v="0"/>
  </r>
  <r>
    <x v="743"/>
    <x v="0"/>
    <x v="1"/>
    <x v="15"/>
    <x v="0"/>
    <x v="0"/>
    <x v="4"/>
    <x v="0"/>
    <x v="4"/>
    <x v="2"/>
    <x v="2"/>
    <x v="12"/>
    <x v="0"/>
    <x v="0"/>
    <x v="2"/>
    <x v="0"/>
  </r>
  <r>
    <x v="744"/>
    <x v="0"/>
    <x v="0"/>
    <x v="3"/>
    <x v="5"/>
    <x v="1"/>
    <x v="2"/>
    <x v="0"/>
    <x v="1"/>
    <x v="4"/>
    <x v="2"/>
    <x v="16"/>
    <x v="1"/>
    <x v="0"/>
    <x v="1"/>
    <x v="1"/>
  </r>
  <r>
    <x v="745"/>
    <x v="0"/>
    <x v="1"/>
    <x v="10"/>
    <x v="5"/>
    <x v="4"/>
    <x v="0"/>
    <x v="0"/>
    <x v="0"/>
    <x v="3"/>
    <x v="2"/>
    <x v="15"/>
    <x v="0"/>
    <x v="1"/>
    <x v="1"/>
    <x v="1"/>
  </r>
  <r>
    <x v="746"/>
    <x v="0"/>
    <x v="0"/>
    <x v="10"/>
    <x v="4"/>
    <x v="0"/>
    <x v="4"/>
    <x v="0"/>
    <x v="0"/>
    <x v="4"/>
    <x v="2"/>
    <x v="16"/>
    <x v="1"/>
    <x v="0"/>
    <x v="1"/>
    <x v="0"/>
  </r>
  <r>
    <x v="747"/>
    <x v="1"/>
    <x v="0"/>
    <x v="3"/>
    <x v="0"/>
    <x v="0"/>
    <x v="2"/>
    <x v="1"/>
    <x v="1"/>
    <x v="0"/>
    <x v="2"/>
    <x v="20"/>
    <x v="0"/>
    <x v="0"/>
    <x v="1"/>
    <x v="0"/>
  </r>
  <r>
    <x v="748"/>
    <x v="0"/>
    <x v="1"/>
    <x v="12"/>
    <x v="4"/>
    <x v="4"/>
    <x v="4"/>
    <x v="0"/>
    <x v="4"/>
    <x v="1"/>
    <x v="2"/>
    <x v="45"/>
    <x v="1"/>
    <x v="0"/>
    <x v="2"/>
    <x v="0"/>
  </r>
  <r>
    <x v="749"/>
    <x v="0"/>
    <x v="0"/>
    <x v="3"/>
    <x v="4"/>
    <x v="1"/>
    <x v="2"/>
    <x v="0"/>
    <x v="1"/>
    <x v="1"/>
    <x v="2"/>
    <x v="14"/>
    <x v="1"/>
    <x v="0"/>
    <x v="1"/>
    <x v="0"/>
  </r>
  <r>
    <x v="750"/>
    <x v="0"/>
    <x v="1"/>
    <x v="1"/>
    <x v="4"/>
    <x v="2"/>
    <x v="0"/>
    <x v="0"/>
    <x v="2"/>
    <x v="3"/>
    <x v="2"/>
    <x v="5"/>
    <x v="0"/>
    <x v="0"/>
    <x v="0"/>
    <x v="0"/>
  </r>
  <r>
    <x v="751"/>
    <x v="0"/>
    <x v="1"/>
    <x v="10"/>
    <x v="0"/>
    <x v="4"/>
    <x v="2"/>
    <x v="0"/>
    <x v="0"/>
    <x v="1"/>
    <x v="2"/>
    <x v="4"/>
    <x v="0"/>
    <x v="0"/>
    <x v="1"/>
    <x v="0"/>
  </r>
  <r>
    <x v="752"/>
    <x v="0"/>
    <x v="1"/>
    <x v="10"/>
    <x v="3"/>
    <x v="1"/>
    <x v="2"/>
    <x v="0"/>
    <x v="2"/>
    <x v="2"/>
    <x v="2"/>
    <x v="21"/>
    <x v="2"/>
    <x v="0"/>
    <x v="1"/>
    <x v="0"/>
  </r>
  <r>
    <x v="753"/>
    <x v="1"/>
    <x v="0"/>
    <x v="0"/>
    <x v="3"/>
    <x v="1"/>
    <x v="0"/>
    <x v="1"/>
    <x v="1"/>
    <x v="3"/>
    <x v="2"/>
    <x v="40"/>
    <x v="2"/>
    <x v="0"/>
    <x v="0"/>
    <x v="0"/>
  </r>
  <r>
    <x v="754"/>
    <x v="0"/>
    <x v="0"/>
    <x v="0"/>
    <x v="5"/>
    <x v="2"/>
    <x v="2"/>
    <x v="0"/>
    <x v="2"/>
    <x v="2"/>
    <x v="2"/>
    <x v="14"/>
    <x v="1"/>
    <x v="1"/>
    <x v="0"/>
    <x v="1"/>
  </r>
  <r>
    <x v="755"/>
    <x v="0"/>
    <x v="1"/>
    <x v="10"/>
    <x v="1"/>
    <x v="2"/>
    <x v="2"/>
    <x v="1"/>
    <x v="2"/>
    <x v="1"/>
    <x v="2"/>
    <x v="39"/>
    <x v="0"/>
    <x v="0"/>
    <x v="1"/>
    <x v="1"/>
  </r>
  <r>
    <x v="756"/>
    <x v="0"/>
    <x v="1"/>
    <x v="0"/>
    <x v="0"/>
    <x v="0"/>
    <x v="0"/>
    <x v="1"/>
    <x v="1"/>
    <x v="0"/>
    <x v="2"/>
    <x v="4"/>
    <x v="0"/>
    <x v="1"/>
    <x v="0"/>
    <x v="0"/>
  </r>
  <r>
    <x v="757"/>
    <x v="1"/>
    <x v="1"/>
    <x v="1"/>
    <x v="0"/>
    <x v="2"/>
    <x v="1"/>
    <x v="0"/>
    <x v="2"/>
    <x v="3"/>
    <x v="2"/>
    <x v="36"/>
    <x v="0"/>
    <x v="1"/>
    <x v="0"/>
    <x v="0"/>
  </r>
  <r>
    <x v="758"/>
    <x v="1"/>
    <x v="0"/>
    <x v="2"/>
    <x v="2"/>
    <x v="4"/>
    <x v="0"/>
    <x v="1"/>
    <x v="0"/>
    <x v="0"/>
    <x v="2"/>
    <x v="15"/>
    <x v="0"/>
    <x v="0"/>
    <x v="1"/>
    <x v="1"/>
  </r>
  <r>
    <x v="759"/>
    <x v="1"/>
    <x v="0"/>
    <x v="10"/>
    <x v="1"/>
    <x v="4"/>
    <x v="2"/>
    <x v="0"/>
    <x v="0"/>
    <x v="1"/>
    <x v="2"/>
    <x v="1"/>
    <x v="0"/>
    <x v="1"/>
    <x v="1"/>
    <x v="1"/>
  </r>
  <r>
    <x v="760"/>
    <x v="1"/>
    <x v="1"/>
    <x v="6"/>
    <x v="1"/>
    <x v="3"/>
    <x v="1"/>
    <x v="1"/>
    <x v="2"/>
    <x v="0"/>
    <x v="2"/>
    <x v="5"/>
    <x v="0"/>
    <x v="0"/>
    <x v="0"/>
    <x v="1"/>
  </r>
  <r>
    <x v="761"/>
    <x v="0"/>
    <x v="0"/>
    <x v="10"/>
    <x v="2"/>
    <x v="0"/>
    <x v="4"/>
    <x v="0"/>
    <x v="4"/>
    <x v="4"/>
    <x v="2"/>
    <x v="14"/>
    <x v="1"/>
    <x v="0"/>
    <x v="1"/>
    <x v="1"/>
  </r>
  <r>
    <x v="762"/>
    <x v="1"/>
    <x v="1"/>
    <x v="14"/>
    <x v="4"/>
    <x v="0"/>
    <x v="0"/>
    <x v="0"/>
    <x v="0"/>
    <x v="1"/>
    <x v="2"/>
    <x v="34"/>
    <x v="0"/>
    <x v="1"/>
    <x v="0"/>
    <x v="0"/>
  </r>
  <r>
    <x v="763"/>
    <x v="0"/>
    <x v="1"/>
    <x v="14"/>
    <x v="0"/>
    <x v="4"/>
    <x v="0"/>
    <x v="0"/>
    <x v="0"/>
    <x v="0"/>
    <x v="2"/>
    <x v="6"/>
    <x v="2"/>
    <x v="1"/>
    <x v="0"/>
    <x v="0"/>
  </r>
  <r>
    <x v="764"/>
    <x v="0"/>
    <x v="0"/>
    <x v="10"/>
    <x v="3"/>
    <x v="1"/>
    <x v="0"/>
    <x v="1"/>
    <x v="1"/>
    <x v="3"/>
    <x v="2"/>
    <x v="40"/>
    <x v="2"/>
    <x v="0"/>
    <x v="1"/>
    <x v="0"/>
  </r>
  <r>
    <x v="765"/>
    <x v="1"/>
    <x v="0"/>
    <x v="3"/>
    <x v="3"/>
    <x v="1"/>
    <x v="0"/>
    <x v="0"/>
    <x v="2"/>
    <x v="2"/>
    <x v="2"/>
    <x v="17"/>
    <x v="2"/>
    <x v="1"/>
    <x v="1"/>
    <x v="0"/>
  </r>
  <r>
    <x v="766"/>
    <x v="0"/>
    <x v="1"/>
    <x v="14"/>
    <x v="5"/>
    <x v="0"/>
    <x v="0"/>
    <x v="0"/>
    <x v="4"/>
    <x v="4"/>
    <x v="2"/>
    <x v="0"/>
    <x v="0"/>
    <x v="0"/>
    <x v="0"/>
    <x v="1"/>
  </r>
  <r>
    <x v="767"/>
    <x v="0"/>
    <x v="0"/>
    <x v="10"/>
    <x v="4"/>
    <x v="1"/>
    <x v="2"/>
    <x v="0"/>
    <x v="2"/>
    <x v="1"/>
    <x v="2"/>
    <x v="42"/>
    <x v="1"/>
    <x v="1"/>
    <x v="1"/>
    <x v="0"/>
  </r>
  <r>
    <x v="768"/>
    <x v="0"/>
    <x v="0"/>
    <x v="7"/>
    <x v="0"/>
    <x v="2"/>
    <x v="2"/>
    <x v="1"/>
    <x v="3"/>
    <x v="1"/>
    <x v="2"/>
    <x v="12"/>
    <x v="0"/>
    <x v="0"/>
    <x v="2"/>
    <x v="0"/>
  </r>
  <r>
    <x v="769"/>
    <x v="0"/>
    <x v="0"/>
    <x v="11"/>
    <x v="5"/>
    <x v="0"/>
    <x v="4"/>
    <x v="0"/>
    <x v="3"/>
    <x v="0"/>
    <x v="2"/>
    <x v="8"/>
    <x v="0"/>
    <x v="0"/>
    <x v="1"/>
    <x v="1"/>
  </r>
  <r>
    <x v="770"/>
    <x v="0"/>
    <x v="1"/>
    <x v="10"/>
    <x v="0"/>
    <x v="4"/>
    <x v="0"/>
    <x v="1"/>
    <x v="0"/>
    <x v="0"/>
    <x v="2"/>
    <x v="10"/>
    <x v="0"/>
    <x v="0"/>
    <x v="1"/>
    <x v="0"/>
  </r>
  <r>
    <x v="771"/>
    <x v="0"/>
    <x v="1"/>
    <x v="2"/>
    <x v="0"/>
    <x v="1"/>
    <x v="0"/>
    <x v="1"/>
    <x v="1"/>
    <x v="0"/>
    <x v="2"/>
    <x v="15"/>
    <x v="0"/>
    <x v="1"/>
    <x v="1"/>
    <x v="0"/>
  </r>
  <r>
    <x v="772"/>
    <x v="1"/>
    <x v="1"/>
    <x v="10"/>
    <x v="5"/>
    <x v="4"/>
    <x v="0"/>
    <x v="0"/>
    <x v="0"/>
    <x v="3"/>
    <x v="2"/>
    <x v="15"/>
    <x v="0"/>
    <x v="1"/>
    <x v="1"/>
    <x v="1"/>
  </r>
  <r>
    <x v="773"/>
    <x v="0"/>
    <x v="0"/>
    <x v="10"/>
    <x v="0"/>
    <x v="4"/>
    <x v="0"/>
    <x v="0"/>
    <x v="0"/>
    <x v="0"/>
    <x v="2"/>
    <x v="17"/>
    <x v="2"/>
    <x v="0"/>
    <x v="1"/>
    <x v="0"/>
  </r>
  <r>
    <x v="774"/>
    <x v="0"/>
    <x v="0"/>
    <x v="2"/>
    <x v="1"/>
    <x v="4"/>
    <x v="2"/>
    <x v="0"/>
    <x v="0"/>
    <x v="0"/>
    <x v="2"/>
    <x v="4"/>
    <x v="0"/>
    <x v="1"/>
    <x v="1"/>
    <x v="1"/>
  </r>
  <r>
    <x v="775"/>
    <x v="0"/>
    <x v="1"/>
    <x v="3"/>
    <x v="4"/>
    <x v="3"/>
    <x v="0"/>
    <x v="0"/>
    <x v="2"/>
    <x v="4"/>
    <x v="2"/>
    <x v="9"/>
    <x v="0"/>
    <x v="0"/>
    <x v="1"/>
    <x v="0"/>
  </r>
  <r>
    <x v="776"/>
    <x v="1"/>
    <x v="1"/>
    <x v="3"/>
    <x v="4"/>
    <x v="0"/>
    <x v="4"/>
    <x v="1"/>
    <x v="1"/>
    <x v="1"/>
    <x v="2"/>
    <x v="14"/>
    <x v="1"/>
    <x v="1"/>
    <x v="1"/>
    <x v="0"/>
  </r>
  <r>
    <x v="777"/>
    <x v="1"/>
    <x v="1"/>
    <x v="0"/>
    <x v="3"/>
    <x v="2"/>
    <x v="0"/>
    <x v="0"/>
    <x v="2"/>
    <x v="2"/>
    <x v="2"/>
    <x v="40"/>
    <x v="2"/>
    <x v="0"/>
    <x v="0"/>
    <x v="0"/>
  </r>
  <r>
    <x v="778"/>
    <x v="0"/>
    <x v="1"/>
    <x v="8"/>
    <x v="2"/>
    <x v="1"/>
    <x v="2"/>
    <x v="0"/>
    <x v="4"/>
    <x v="0"/>
    <x v="2"/>
    <x v="3"/>
    <x v="0"/>
    <x v="0"/>
    <x v="1"/>
    <x v="1"/>
  </r>
  <r>
    <x v="779"/>
    <x v="0"/>
    <x v="1"/>
    <x v="2"/>
    <x v="1"/>
    <x v="1"/>
    <x v="2"/>
    <x v="1"/>
    <x v="2"/>
    <x v="1"/>
    <x v="2"/>
    <x v="5"/>
    <x v="0"/>
    <x v="1"/>
    <x v="1"/>
    <x v="1"/>
  </r>
  <r>
    <x v="780"/>
    <x v="0"/>
    <x v="0"/>
    <x v="10"/>
    <x v="4"/>
    <x v="1"/>
    <x v="2"/>
    <x v="0"/>
    <x v="1"/>
    <x v="4"/>
    <x v="2"/>
    <x v="10"/>
    <x v="0"/>
    <x v="0"/>
    <x v="1"/>
    <x v="0"/>
  </r>
  <r>
    <x v="781"/>
    <x v="0"/>
    <x v="1"/>
    <x v="2"/>
    <x v="5"/>
    <x v="0"/>
    <x v="4"/>
    <x v="0"/>
    <x v="0"/>
    <x v="0"/>
    <x v="2"/>
    <x v="1"/>
    <x v="0"/>
    <x v="0"/>
    <x v="1"/>
    <x v="1"/>
  </r>
  <r>
    <x v="782"/>
    <x v="1"/>
    <x v="1"/>
    <x v="3"/>
    <x v="5"/>
    <x v="0"/>
    <x v="2"/>
    <x v="0"/>
    <x v="2"/>
    <x v="1"/>
    <x v="2"/>
    <x v="1"/>
    <x v="0"/>
    <x v="1"/>
    <x v="1"/>
    <x v="1"/>
  </r>
  <r>
    <x v="783"/>
    <x v="0"/>
    <x v="1"/>
    <x v="10"/>
    <x v="5"/>
    <x v="0"/>
    <x v="0"/>
    <x v="0"/>
    <x v="4"/>
    <x v="2"/>
    <x v="2"/>
    <x v="0"/>
    <x v="0"/>
    <x v="0"/>
    <x v="1"/>
    <x v="1"/>
  </r>
  <r>
    <x v="784"/>
    <x v="1"/>
    <x v="0"/>
    <x v="4"/>
    <x v="4"/>
    <x v="2"/>
    <x v="3"/>
    <x v="0"/>
    <x v="2"/>
    <x v="3"/>
    <x v="2"/>
    <x v="39"/>
    <x v="0"/>
    <x v="1"/>
    <x v="0"/>
    <x v="0"/>
  </r>
  <r>
    <x v="785"/>
    <x v="1"/>
    <x v="0"/>
    <x v="0"/>
    <x v="3"/>
    <x v="2"/>
    <x v="0"/>
    <x v="1"/>
    <x v="2"/>
    <x v="0"/>
    <x v="2"/>
    <x v="26"/>
    <x v="2"/>
    <x v="1"/>
    <x v="0"/>
    <x v="0"/>
  </r>
  <r>
    <x v="786"/>
    <x v="0"/>
    <x v="0"/>
    <x v="14"/>
    <x v="0"/>
    <x v="0"/>
    <x v="0"/>
    <x v="0"/>
    <x v="1"/>
    <x v="0"/>
    <x v="2"/>
    <x v="11"/>
    <x v="2"/>
    <x v="0"/>
    <x v="0"/>
    <x v="0"/>
  </r>
  <r>
    <x v="787"/>
    <x v="1"/>
    <x v="0"/>
    <x v="3"/>
    <x v="4"/>
    <x v="0"/>
    <x v="4"/>
    <x v="1"/>
    <x v="1"/>
    <x v="1"/>
    <x v="2"/>
    <x v="14"/>
    <x v="1"/>
    <x v="1"/>
    <x v="1"/>
    <x v="0"/>
  </r>
  <r>
    <x v="788"/>
    <x v="1"/>
    <x v="0"/>
    <x v="6"/>
    <x v="4"/>
    <x v="3"/>
    <x v="1"/>
    <x v="0"/>
    <x v="2"/>
    <x v="3"/>
    <x v="2"/>
    <x v="38"/>
    <x v="0"/>
    <x v="0"/>
    <x v="0"/>
    <x v="0"/>
  </r>
  <r>
    <x v="789"/>
    <x v="0"/>
    <x v="1"/>
    <x v="10"/>
    <x v="4"/>
    <x v="2"/>
    <x v="2"/>
    <x v="1"/>
    <x v="2"/>
    <x v="3"/>
    <x v="2"/>
    <x v="28"/>
    <x v="0"/>
    <x v="1"/>
    <x v="1"/>
    <x v="0"/>
  </r>
  <r>
    <x v="790"/>
    <x v="1"/>
    <x v="0"/>
    <x v="2"/>
    <x v="4"/>
    <x v="3"/>
    <x v="0"/>
    <x v="1"/>
    <x v="2"/>
    <x v="3"/>
    <x v="2"/>
    <x v="5"/>
    <x v="0"/>
    <x v="0"/>
    <x v="1"/>
    <x v="0"/>
  </r>
  <r>
    <x v="791"/>
    <x v="0"/>
    <x v="1"/>
    <x v="0"/>
    <x v="3"/>
    <x v="2"/>
    <x v="0"/>
    <x v="0"/>
    <x v="2"/>
    <x v="2"/>
    <x v="2"/>
    <x v="26"/>
    <x v="2"/>
    <x v="1"/>
    <x v="0"/>
    <x v="0"/>
  </r>
  <r>
    <x v="792"/>
    <x v="1"/>
    <x v="1"/>
    <x v="1"/>
    <x v="0"/>
    <x v="2"/>
    <x v="1"/>
    <x v="1"/>
    <x v="1"/>
    <x v="2"/>
    <x v="2"/>
    <x v="31"/>
    <x v="0"/>
    <x v="0"/>
    <x v="0"/>
    <x v="0"/>
  </r>
  <r>
    <x v="793"/>
    <x v="0"/>
    <x v="1"/>
    <x v="1"/>
    <x v="0"/>
    <x v="2"/>
    <x v="1"/>
    <x v="0"/>
    <x v="1"/>
    <x v="1"/>
    <x v="2"/>
    <x v="31"/>
    <x v="0"/>
    <x v="1"/>
    <x v="0"/>
    <x v="0"/>
  </r>
  <r>
    <x v="794"/>
    <x v="0"/>
    <x v="1"/>
    <x v="14"/>
    <x v="4"/>
    <x v="4"/>
    <x v="4"/>
    <x v="0"/>
    <x v="2"/>
    <x v="2"/>
    <x v="2"/>
    <x v="45"/>
    <x v="1"/>
    <x v="0"/>
    <x v="0"/>
    <x v="0"/>
  </r>
  <r>
    <x v="795"/>
    <x v="1"/>
    <x v="1"/>
    <x v="10"/>
    <x v="4"/>
    <x v="2"/>
    <x v="2"/>
    <x v="0"/>
    <x v="2"/>
    <x v="2"/>
    <x v="2"/>
    <x v="36"/>
    <x v="0"/>
    <x v="0"/>
    <x v="1"/>
    <x v="0"/>
  </r>
  <r>
    <x v="796"/>
    <x v="0"/>
    <x v="1"/>
    <x v="3"/>
    <x v="2"/>
    <x v="1"/>
    <x v="2"/>
    <x v="0"/>
    <x v="2"/>
    <x v="3"/>
    <x v="2"/>
    <x v="42"/>
    <x v="1"/>
    <x v="1"/>
    <x v="1"/>
    <x v="1"/>
  </r>
  <r>
    <x v="797"/>
    <x v="1"/>
    <x v="1"/>
    <x v="10"/>
    <x v="3"/>
    <x v="1"/>
    <x v="0"/>
    <x v="0"/>
    <x v="1"/>
    <x v="2"/>
    <x v="2"/>
    <x v="40"/>
    <x v="2"/>
    <x v="1"/>
    <x v="1"/>
    <x v="0"/>
  </r>
  <r>
    <x v="798"/>
    <x v="1"/>
    <x v="0"/>
    <x v="1"/>
    <x v="3"/>
    <x v="2"/>
    <x v="0"/>
    <x v="1"/>
    <x v="2"/>
    <x v="0"/>
    <x v="2"/>
    <x v="37"/>
    <x v="2"/>
    <x v="1"/>
    <x v="0"/>
    <x v="0"/>
  </r>
  <r>
    <x v="799"/>
    <x v="1"/>
    <x v="0"/>
    <x v="14"/>
    <x v="0"/>
    <x v="4"/>
    <x v="0"/>
    <x v="0"/>
    <x v="0"/>
    <x v="3"/>
    <x v="2"/>
    <x v="6"/>
    <x v="2"/>
    <x v="1"/>
    <x v="0"/>
    <x v="0"/>
  </r>
  <r>
    <x v="800"/>
    <x v="1"/>
    <x v="1"/>
    <x v="10"/>
    <x v="5"/>
    <x v="0"/>
    <x v="2"/>
    <x v="0"/>
    <x v="2"/>
    <x v="1"/>
    <x v="2"/>
    <x v="1"/>
    <x v="0"/>
    <x v="1"/>
    <x v="1"/>
    <x v="1"/>
  </r>
  <r>
    <x v="801"/>
    <x v="0"/>
    <x v="1"/>
    <x v="3"/>
    <x v="5"/>
    <x v="4"/>
    <x v="4"/>
    <x v="0"/>
    <x v="2"/>
    <x v="2"/>
    <x v="2"/>
    <x v="49"/>
    <x v="1"/>
    <x v="0"/>
    <x v="1"/>
    <x v="1"/>
  </r>
  <r>
    <x v="802"/>
    <x v="0"/>
    <x v="1"/>
    <x v="0"/>
    <x v="3"/>
    <x v="1"/>
    <x v="0"/>
    <x v="0"/>
    <x v="1"/>
    <x v="2"/>
    <x v="2"/>
    <x v="40"/>
    <x v="2"/>
    <x v="0"/>
    <x v="0"/>
    <x v="0"/>
  </r>
  <r>
    <x v="803"/>
    <x v="0"/>
    <x v="1"/>
    <x v="0"/>
    <x v="3"/>
    <x v="2"/>
    <x v="0"/>
    <x v="0"/>
    <x v="2"/>
    <x v="2"/>
    <x v="2"/>
    <x v="26"/>
    <x v="2"/>
    <x v="1"/>
    <x v="0"/>
    <x v="0"/>
  </r>
  <r>
    <x v="804"/>
    <x v="0"/>
    <x v="1"/>
    <x v="0"/>
    <x v="3"/>
    <x v="2"/>
    <x v="0"/>
    <x v="1"/>
    <x v="2"/>
    <x v="0"/>
    <x v="2"/>
    <x v="40"/>
    <x v="2"/>
    <x v="1"/>
    <x v="0"/>
    <x v="0"/>
  </r>
  <r>
    <x v="805"/>
    <x v="1"/>
    <x v="0"/>
    <x v="0"/>
    <x v="3"/>
    <x v="2"/>
    <x v="0"/>
    <x v="0"/>
    <x v="2"/>
    <x v="2"/>
    <x v="2"/>
    <x v="23"/>
    <x v="2"/>
    <x v="0"/>
    <x v="0"/>
    <x v="0"/>
  </r>
  <r>
    <x v="806"/>
    <x v="0"/>
    <x v="0"/>
    <x v="4"/>
    <x v="4"/>
    <x v="2"/>
    <x v="3"/>
    <x v="0"/>
    <x v="2"/>
    <x v="3"/>
    <x v="2"/>
    <x v="39"/>
    <x v="0"/>
    <x v="0"/>
    <x v="0"/>
    <x v="0"/>
  </r>
  <r>
    <x v="807"/>
    <x v="1"/>
    <x v="0"/>
    <x v="10"/>
    <x v="3"/>
    <x v="1"/>
    <x v="2"/>
    <x v="1"/>
    <x v="2"/>
    <x v="3"/>
    <x v="2"/>
    <x v="21"/>
    <x v="2"/>
    <x v="1"/>
    <x v="1"/>
    <x v="0"/>
  </r>
  <r>
    <x v="808"/>
    <x v="1"/>
    <x v="1"/>
    <x v="1"/>
    <x v="4"/>
    <x v="2"/>
    <x v="0"/>
    <x v="0"/>
    <x v="2"/>
    <x v="3"/>
    <x v="2"/>
    <x v="5"/>
    <x v="0"/>
    <x v="1"/>
    <x v="0"/>
    <x v="0"/>
  </r>
  <r>
    <x v="809"/>
    <x v="0"/>
    <x v="0"/>
    <x v="0"/>
    <x v="5"/>
    <x v="2"/>
    <x v="2"/>
    <x v="0"/>
    <x v="2"/>
    <x v="2"/>
    <x v="2"/>
    <x v="45"/>
    <x v="1"/>
    <x v="0"/>
    <x v="0"/>
    <x v="1"/>
  </r>
  <r>
    <x v="810"/>
    <x v="1"/>
    <x v="0"/>
    <x v="3"/>
    <x v="1"/>
    <x v="4"/>
    <x v="4"/>
    <x v="0"/>
    <x v="2"/>
    <x v="2"/>
    <x v="2"/>
    <x v="31"/>
    <x v="0"/>
    <x v="1"/>
    <x v="1"/>
    <x v="1"/>
  </r>
  <r>
    <x v="811"/>
    <x v="0"/>
    <x v="1"/>
    <x v="10"/>
    <x v="3"/>
    <x v="1"/>
    <x v="0"/>
    <x v="1"/>
    <x v="2"/>
    <x v="3"/>
    <x v="2"/>
    <x v="23"/>
    <x v="2"/>
    <x v="0"/>
    <x v="1"/>
    <x v="0"/>
  </r>
  <r>
    <x v="812"/>
    <x v="1"/>
    <x v="0"/>
    <x v="3"/>
    <x v="5"/>
    <x v="0"/>
    <x v="4"/>
    <x v="0"/>
    <x v="2"/>
    <x v="4"/>
    <x v="2"/>
    <x v="33"/>
    <x v="1"/>
    <x v="0"/>
    <x v="1"/>
    <x v="1"/>
  </r>
  <r>
    <x v="813"/>
    <x v="0"/>
    <x v="0"/>
    <x v="3"/>
    <x v="4"/>
    <x v="2"/>
    <x v="2"/>
    <x v="0"/>
    <x v="2"/>
    <x v="4"/>
    <x v="2"/>
    <x v="39"/>
    <x v="0"/>
    <x v="0"/>
    <x v="1"/>
    <x v="0"/>
  </r>
  <r>
    <x v="814"/>
    <x v="1"/>
    <x v="0"/>
    <x v="3"/>
    <x v="5"/>
    <x v="0"/>
    <x v="4"/>
    <x v="0"/>
    <x v="2"/>
    <x v="3"/>
    <x v="2"/>
    <x v="24"/>
    <x v="1"/>
    <x v="1"/>
    <x v="1"/>
    <x v="1"/>
  </r>
  <r>
    <x v="815"/>
    <x v="0"/>
    <x v="1"/>
    <x v="0"/>
    <x v="3"/>
    <x v="1"/>
    <x v="0"/>
    <x v="1"/>
    <x v="2"/>
    <x v="3"/>
    <x v="2"/>
    <x v="25"/>
    <x v="2"/>
    <x v="0"/>
    <x v="0"/>
    <x v="0"/>
  </r>
  <r>
    <x v="816"/>
    <x v="0"/>
    <x v="0"/>
    <x v="10"/>
    <x v="1"/>
    <x v="4"/>
    <x v="2"/>
    <x v="0"/>
    <x v="0"/>
    <x v="1"/>
    <x v="2"/>
    <x v="1"/>
    <x v="0"/>
    <x v="1"/>
    <x v="1"/>
    <x v="1"/>
  </r>
  <r>
    <x v="817"/>
    <x v="0"/>
    <x v="0"/>
    <x v="10"/>
    <x v="1"/>
    <x v="4"/>
    <x v="2"/>
    <x v="0"/>
    <x v="0"/>
    <x v="1"/>
    <x v="2"/>
    <x v="0"/>
    <x v="0"/>
    <x v="1"/>
    <x v="1"/>
    <x v="1"/>
  </r>
  <r>
    <x v="818"/>
    <x v="0"/>
    <x v="1"/>
    <x v="0"/>
    <x v="3"/>
    <x v="1"/>
    <x v="0"/>
    <x v="0"/>
    <x v="1"/>
    <x v="2"/>
    <x v="2"/>
    <x v="25"/>
    <x v="2"/>
    <x v="0"/>
    <x v="0"/>
    <x v="0"/>
  </r>
  <r>
    <x v="819"/>
    <x v="1"/>
    <x v="0"/>
    <x v="0"/>
    <x v="3"/>
    <x v="2"/>
    <x v="0"/>
    <x v="0"/>
    <x v="2"/>
    <x v="2"/>
    <x v="2"/>
    <x v="25"/>
    <x v="2"/>
    <x v="0"/>
    <x v="0"/>
    <x v="0"/>
  </r>
  <r>
    <x v="820"/>
    <x v="1"/>
    <x v="1"/>
    <x v="15"/>
    <x v="0"/>
    <x v="0"/>
    <x v="4"/>
    <x v="0"/>
    <x v="1"/>
    <x v="2"/>
    <x v="2"/>
    <x v="1"/>
    <x v="0"/>
    <x v="0"/>
    <x v="2"/>
    <x v="0"/>
  </r>
  <r>
    <x v="821"/>
    <x v="0"/>
    <x v="1"/>
    <x v="10"/>
    <x v="3"/>
    <x v="1"/>
    <x v="0"/>
    <x v="0"/>
    <x v="2"/>
    <x v="2"/>
    <x v="2"/>
    <x v="6"/>
    <x v="2"/>
    <x v="1"/>
    <x v="1"/>
    <x v="0"/>
  </r>
  <r>
    <x v="822"/>
    <x v="0"/>
    <x v="1"/>
    <x v="1"/>
    <x v="3"/>
    <x v="2"/>
    <x v="0"/>
    <x v="0"/>
    <x v="2"/>
    <x v="2"/>
    <x v="2"/>
    <x v="21"/>
    <x v="2"/>
    <x v="0"/>
    <x v="0"/>
    <x v="0"/>
  </r>
  <r>
    <x v="823"/>
    <x v="1"/>
    <x v="0"/>
    <x v="3"/>
    <x v="5"/>
    <x v="2"/>
    <x v="2"/>
    <x v="0"/>
    <x v="0"/>
    <x v="2"/>
    <x v="2"/>
    <x v="5"/>
    <x v="0"/>
    <x v="1"/>
    <x v="1"/>
    <x v="1"/>
  </r>
  <r>
    <x v="824"/>
    <x v="1"/>
    <x v="1"/>
    <x v="15"/>
    <x v="4"/>
    <x v="0"/>
    <x v="4"/>
    <x v="1"/>
    <x v="4"/>
    <x v="0"/>
    <x v="2"/>
    <x v="34"/>
    <x v="0"/>
    <x v="1"/>
    <x v="2"/>
    <x v="0"/>
  </r>
  <r>
    <x v="825"/>
    <x v="0"/>
    <x v="1"/>
    <x v="3"/>
    <x v="1"/>
    <x v="2"/>
    <x v="2"/>
    <x v="1"/>
    <x v="1"/>
    <x v="3"/>
    <x v="2"/>
    <x v="31"/>
    <x v="0"/>
    <x v="1"/>
    <x v="1"/>
    <x v="1"/>
  </r>
  <r>
    <x v="826"/>
    <x v="0"/>
    <x v="1"/>
    <x v="3"/>
    <x v="5"/>
    <x v="4"/>
    <x v="2"/>
    <x v="0"/>
    <x v="0"/>
    <x v="1"/>
    <x v="2"/>
    <x v="4"/>
    <x v="0"/>
    <x v="1"/>
    <x v="1"/>
    <x v="1"/>
  </r>
  <r>
    <x v="827"/>
    <x v="1"/>
    <x v="0"/>
    <x v="2"/>
    <x v="1"/>
    <x v="0"/>
    <x v="0"/>
    <x v="0"/>
    <x v="2"/>
    <x v="1"/>
    <x v="2"/>
    <x v="3"/>
    <x v="0"/>
    <x v="1"/>
    <x v="1"/>
    <x v="1"/>
  </r>
  <r>
    <x v="828"/>
    <x v="1"/>
    <x v="0"/>
    <x v="0"/>
    <x v="3"/>
    <x v="3"/>
    <x v="1"/>
    <x v="0"/>
    <x v="2"/>
    <x v="2"/>
    <x v="2"/>
    <x v="22"/>
    <x v="2"/>
    <x v="0"/>
    <x v="0"/>
    <x v="0"/>
  </r>
  <r>
    <x v="829"/>
    <x v="1"/>
    <x v="1"/>
    <x v="9"/>
    <x v="0"/>
    <x v="4"/>
    <x v="4"/>
    <x v="1"/>
    <x v="3"/>
    <x v="0"/>
    <x v="2"/>
    <x v="29"/>
    <x v="1"/>
    <x v="0"/>
    <x v="2"/>
    <x v="0"/>
  </r>
  <r>
    <x v="830"/>
    <x v="0"/>
    <x v="1"/>
    <x v="10"/>
    <x v="4"/>
    <x v="2"/>
    <x v="2"/>
    <x v="1"/>
    <x v="2"/>
    <x v="2"/>
    <x v="2"/>
    <x v="36"/>
    <x v="0"/>
    <x v="0"/>
    <x v="1"/>
    <x v="0"/>
  </r>
  <r>
    <x v="831"/>
    <x v="0"/>
    <x v="0"/>
    <x v="3"/>
    <x v="5"/>
    <x v="0"/>
    <x v="2"/>
    <x v="0"/>
    <x v="2"/>
    <x v="0"/>
    <x v="2"/>
    <x v="1"/>
    <x v="0"/>
    <x v="1"/>
    <x v="1"/>
    <x v="1"/>
  </r>
  <r>
    <x v="832"/>
    <x v="0"/>
    <x v="0"/>
    <x v="10"/>
    <x v="3"/>
    <x v="4"/>
    <x v="2"/>
    <x v="0"/>
    <x v="0"/>
    <x v="0"/>
    <x v="2"/>
    <x v="32"/>
    <x v="0"/>
    <x v="0"/>
    <x v="1"/>
    <x v="0"/>
  </r>
  <r>
    <x v="833"/>
    <x v="1"/>
    <x v="0"/>
    <x v="3"/>
    <x v="3"/>
    <x v="0"/>
    <x v="2"/>
    <x v="1"/>
    <x v="1"/>
    <x v="0"/>
    <x v="2"/>
    <x v="34"/>
    <x v="0"/>
    <x v="1"/>
    <x v="1"/>
    <x v="0"/>
  </r>
  <r>
    <x v="834"/>
    <x v="1"/>
    <x v="0"/>
    <x v="3"/>
    <x v="4"/>
    <x v="3"/>
    <x v="0"/>
    <x v="1"/>
    <x v="2"/>
    <x v="1"/>
    <x v="2"/>
    <x v="9"/>
    <x v="0"/>
    <x v="1"/>
    <x v="1"/>
    <x v="0"/>
  </r>
  <r>
    <x v="835"/>
    <x v="1"/>
    <x v="0"/>
    <x v="10"/>
    <x v="1"/>
    <x v="0"/>
    <x v="0"/>
    <x v="0"/>
    <x v="0"/>
    <x v="1"/>
    <x v="2"/>
    <x v="8"/>
    <x v="0"/>
    <x v="1"/>
    <x v="1"/>
    <x v="1"/>
  </r>
  <r>
    <x v="836"/>
    <x v="0"/>
    <x v="0"/>
    <x v="0"/>
    <x v="3"/>
    <x v="1"/>
    <x v="0"/>
    <x v="0"/>
    <x v="2"/>
    <x v="2"/>
    <x v="2"/>
    <x v="26"/>
    <x v="2"/>
    <x v="0"/>
    <x v="0"/>
    <x v="0"/>
  </r>
  <r>
    <x v="837"/>
    <x v="0"/>
    <x v="1"/>
    <x v="10"/>
    <x v="0"/>
    <x v="4"/>
    <x v="0"/>
    <x v="0"/>
    <x v="0"/>
    <x v="0"/>
    <x v="2"/>
    <x v="6"/>
    <x v="2"/>
    <x v="0"/>
    <x v="1"/>
    <x v="0"/>
  </r>
  <r>
    <x v="838"/>
    <x v="1"/>
    <x v="0"/>
    <x v="2"/>
    <x v="1"/>
    <x v="0"/>
    <x v="0"/>
    <x v="0"/>
    <x v="2"/>
    <x v="1"/>
    <x v="2"/>
    <x v="3"/>
    <x v="0"/>
    <x v="1"/>
    <x v="1"/>
    <x v="1"/>
  </r>
  <r>
    <x v="839"/>
    <x v="1"/>
    <x v="0"/>
    <x v="2"/>
    <x v="1"/>
    <x v="4"/>
    <x v="2"/>
    <x v="0"/>
    <x v="0"/>
    <x v="0"/>
    <x v="2"/>
    <x v="34"/>
    <x v="0"/>
    <x v="1"/>
    <x v="1"/>
    <x v="1"/>
  </r>
  <r>
    <x v="840"/>
    <x v="0"/>
    <x v="1"/>
    <x v="3"/>
    <x v="5"/>
    <x v="1"/>
    <x v="2"/>
    <x v="0"/>
    <x v="2"/>
    <x v="4"/>
    <x v="2"/>
    <x v="39"/>
    <x v="0"/>
    <x v="0"/>
    <x v="1"/>
    <x v="1"/>
  </r>
  <r>
    <x v="841"/>
    <x v="0"/>
    <x v="1"/>
    <x v="7"/>
    <x v="4"/>
    <x v="4"/>
    <x v="4"/>
    <x v="0"/>
    <x v="4"/>
    <x v="2"/>
    <x v="2"/>
    <x v="46"/>
    <x v="1"/>
    <x v="0"/>
    <x v="2"/>
    <x v="0"/>
  </r>
  <r>
    <x v="842"/>
    <x v="0"/>
    <x v="0"/>
    <x v="10"/>
    <x v="0"/>
    <x v="1"/>
    <x v="0"/>
    <x v="0"/>
    <x v="1"/>
    <x v="1"/>
    <x v="2"/>
    <x v="12"/>
    <x v="0"/>
    <x v="1"/>
    <x v="1"/>
    <x v="0"/>
  </r>
  <r>
    <x v="843"/>
    <x v="1"/>
    <x v="1"/>
    <x v="2"/>
    <x v="4"/>
    <x v="3"/>
    <x v="0"/>
    <x v="1"/>
    <x v="2"/>
    <x v="3"/>
    <x v="2"/>
    <x v="31"/>
    <x v="0"/>
    <x v="0"/>
    <x v="1"/>
    <x v="0"/>
  </r>
  <r>
    <x v="844"/>
    <x v="0"/>
    <x v="0"/>
    <x v="0"/>
    <x v="2"/>
    <x v="2"/>
    <x v="2"/>
    <x v="0"/>
    <x v="2"/>
    <x v="4"/>
    <x v="2"/>
    <x v="2"/>
    <x v="1"/>
    <x v="0"/>
    <x v="0"/>
    <x v="1"/>
  </r>
  <r>
    <x v="845"/>
    <x v="1"/>
    <x v="0"/>
    <x v="6"/>
    <x v="1"/>
    <x v="3"/>
    <x v="1"/>
    <x v="0"/>
    <x v="2"/>
    <x v="3"/>
    <x v="2"/>
    <x v="5"/>
    <x v="0"/>
    <x v="0"/>
    <x v="0"/>
    <x v="1"/>
  </r>
  <r>
    <x v="846"/>
    <x v="0"/>
    <x v="0"/>
    <x v="3"/>
    <x v="5"/>
    <x v="1"/>
    <x v="2"/>
    <x v="1"/>
    <x v="1"/>
    <x v="3"/>
    <x v="2"/>
    <x v="16"/>
    <x v="1"/>
    <x v="0"/>
    <x v="1"/>
    <x v="1"/>
  </r>
  <r>
    <x v="847"/>
    <x v="1"/>
    <x v="0"/>
    <x v="0"/>
    <x v="3"/>
    <x v="3"/>
    <x v="1"/>
    <x v="0"/>
    <x v="2"/>
    <x v="2"/>
    <x v="2"/>
    <x v="19"/>
    <x v="2"/>
    <x v="0"/>
    <x v="0"/>
    <x v="0"/>
  </r>
  <r>
    <x v="848"/>
    <x v="1"/>
    <x v="1"/>
    <x v="12"/>
    <x v="3"/>
    <x v="4"/>
    <x v="4"/>
    <x v="1"/>
    <x v="2"/>
    <x v="0"/>
    <x v="2"/>
    <x v="13"/>
    <x v="0"/>
    <x v="1"/>
    <x v="2"/>
    <x v="0"/>
  </r>
  <r>
    <x v="849"/>
    <x v="0"/>
    <x v="0"/>
    <x v="0"/>
    <x v="2"/>
    <x v="2"/>
    <x v="2"/>
    <x v="1"/>
    <x v="2"/>
    <x v="1"/>
    <x v="2"/>
    <x v="2"/>
    <x v="1"/>
    <x v="0"/>
    <x v="0"/>
    <x v="1"/>
  </r>
  <r>
    <x v="850"/>
    <x v="1"/>
    <x v="0"/>
    <x v="12"/>
    <x v="4"/>
    <x v="0"/>
    <x v="4"/>
    <x v="1"/>
    <x v="3"/>
    <x v="0"/>
    <x v="2"/>
    <x v="41"/>
    <x v="1"/>
    <x v="0"/>
    <x v="2"/>
    <x v="0"/>
  </r>
  <r>
    <x v="851"/>
    <x v="0"/>
    <x v="1"/>
    <x v="10"/>
    <x v="3"/>
    <x v="1"/>
    <x v="0"/>
    <x v="0"/>
    <x v="1"/>
    <x v="2"/>
    <x v="2"/>
    <x v="21"/>
    <x v="2"/>
    <x v="1"/>
    <x v="1"/>
    <x v="0"/>
  </r>
  <r>
    <x v="852"/>
    <x v="1"/>
    <x v="1"/>
    <x v="14"/>
    <x v="4"/>
    <x v="0"/>
    <x v="0"/>
    <x v="1"/>
    <x v="1"/>
    <x v="0"/>
    <x v="2"/>
    <x v="32"/>
    <x v="0"/>
    <x v="1"/>
    <x v="0"/>
    <x v="0"/>
  </r>
  <r>
    <x v="853"/>
    <x v="1"/>
    <x v="1"/>
    <x v="10"/>
    <x v="0"/>
    <x v="4"/>
    <x v="2"/>
    <x v="0"/>
    <x v="0"/>
    <x v="1"/>
    <x v="2"/>
    <x v="11"/>
    <x v="2"/>
    <x v="1"/>
    <x v="1"/>
    <x v="0"/>
  </r>
  <r>
    <x v="854"/>
    <x v="0"/>
    <x v="0"/>
    <x v="10"/>
    <x v="3"/>
    <x v="1"/>
    <x v="2"/>
    <x v="0"/>
    <x v="2"/>
    <x v="2"/>
    <x v="2"/>
    <x v="21"/>
    <x v="2"/>
    <x v="0"/>
    <x v="1"/>
    <x v="0"/>
  </r>
  <r>
    <x v="855"/>
    <x v="1"/>
    <x v="0"/>
    <x v="1"/>
    <x v="3"/>
    <x v="1"/>
    <x v="0"/>
    <x v="1"/>
    <x v="1"/>
    <x v="3"/>
    <x v="2"/>
    <x v="23"/>
    <x v="2"/>
    <x v="0"/>
    <x v="0"/>
    <x v="0"/>
  </r>
  <r>
    <x v="856"/>
    <x v="1"/>
    <x v="1"/>
    <x v="0"/>
    <x v="3"/>
    <x v="1"/>
    <x v="0"/>
    <x v="0"/>
    <x v="1"/>
    <x v="2"/>
    <x v="2"/>
    <x v="40"/>
    <x v="2"/>
    <x v="0"/>
    <x v="0"/>
    <x v="0"/>
  </r>
  <r>
    <x v="857"/>
    <x v="0"/>
    <x v="0"/>
    <x v="10"/>
    <x v="0"/>
    <x v="0"/>
    <x v="2"/>
    <x v="0"/>
    <x v="1"/>
    <x v="0"/>
    <x v="2"/>
    <x v="15"/>
    <x v="0"/>
    <x v="1"/>
    <x v="1"/>
    <x v="0"/>
  </r>
  <r>
    <x v="858"/>
    <x v="0"/>
    <x v="1"/>
    <x v="0"/>
    <x v="3"/>
    <x v="0"/>
    <x v="2"/>
    <x v="1"/>
    <x v="1"/>
    <x v="0"/>
    <x v="2"/>
    <x v="0"/>
    <x v="0"/>
    <x v="0"/>
    <x v="0"/>
    <x v="0"/>
  </r>
  <r>
    <x v="859"/>
    <x v="0"/>
    <x v="1"/>
    <x v="1"/>
    <x v="4"/>
    <x v="2"/>
    <x v="0"/>
    <x v="0"/>
    <x v="2"/>
    <x v="3"/>
    <x v="2"/>
    <x v="38"/>
    <x v="0"/>
    <x v="0"/>
    <x v="0"/>
    <x v="0"/>
  </r>
  <r>
    <x v="860"/>
    <x v="1"/>
    <x v="1"/>
    <x v="1"/>
    <x v="3"/>
    <x v="1"/>
    <x v="0"/>
    <x v="0"/>
    <x v="1"/>
    <x v="2"/>
    <x v="2"/>
    <x v="21"/>
    <x v="2"/>
    <x v="0"/>
    <x v="0"/>
    <x v="0"/>
  </r>
  <r>
    <x v="861"/>
    <x v="0"/>
    <x v="0"/>
    <x v="6"/>
    <x v="4"/>
    <x v="2"/>
    <x v="3"/>
    <x v="1"/>
    <x v="2"/>
    <x v="3"/>
    <x v="2"/>
    <x v="39"/>
    <x v="0"/>
    <x v="1"/>
    <x v="0"/>
    <x v="0"/>
  </r>
  <r>
    <x v="862"/>
    <x v="0"/>
    <x v="1"/>
    <x v="14"/>
    <x v="3"/>
    <x v="4"/>
    <x v="0"/>
    <x v="0"/>
    <x v="0"/>
    <x v="3"/>
    <x v="2"/>
    <x v="21"/>
    <x v="2"/>
    <x v="1"/>
    <x v="0"/>
    <x v="0"/>
  </r>
  <r>
    <x v="863"/>
    <x v="1"/>
    <x v="1"/>
    <x v="2"/>
    <x v="3"/>
    <x v="0"/>
    <x v="4"/>
    <x v="1"/>
    <x v="1"/>
    <x v="0"/>
    <x v="2"/>
    <x v="13"/>
    <x v="0"/>
    <x v="1"/>
    <x v="1"/>
    <x v="0"/>
  </r>
  <r>
    <x v="864"/>
    <x v="1"/>
    <x v="1"/>
    <x v="0"/>
    <x v="3"/>
    <x v="2"/>
    <x v="0"/>
    <x v="0"/>
    <x v="2"/>
    <x v="2"/>
    <x v="2"/>
    <x v="23"/>
    <x v="2"/>
    <x v="0"/>
    <x v="0"/>
    <x v="0"/>
  </r>
  <r>
    <x v="865"/>
    <x v="1"/>
    <x v="0"/>
    <x v="2"/>
    <x v="3"/>
    <x v="0"/>
    <x v="4"/>
    <x v="1"/>
    <x v="1"/>
    <x v="0"/>
    <x v="2"/>
    <x v="13"/>
    <x v="0"/>
    <x v="1"/>
    <x v="1"/>
    <x v="0"/>
  </r>
  <r>
    <x v="866"/>
    <x v="0"/>
    <x v="1"/>
    <x v="10"/>
    <x v="4"/>
    <x v="2"/>
    <x v="2"/>
    <x v="0"/>
    <x v="2"/>
    <x v="4"/>
    <x v="2"/>
    <x v="10"/>
    <x v="0"/>
    <x v="0"/>
    <x v="1"/>
    <x v="0"/>
  </r>
  <r>
    <x v="867"/>
    <x v="0"/>
    <x v="1"/>
    <x v="3"/>
    <x v="1"/>
    <x v="1"/>
    <x v="2"/>
    <x v="0"/>
    <x v="1"/>
    <x v="2"/>
    <x v="2"/>
    <x v="38"/>
    <x v="0"/>
    <x v="0"/>
    <x v="1"/>
    <x v="1"/>
  </r>
  <r>
    <x v="868"/>
    <x v="1"/>
    <x v="1"/>
    <x v="1"/>
    <x v="2"/>
    <x v="3"/>
    <x v="0"/>
    <x v="0"/>
    <x v="4"/>
    <x v="4"/>
    <x v="2"/>
    <x v="2"/>
    <x v="1"/>
    <x v="1"/>
    <x v="0"/>
    <x v="1"/>
  </r>
  <r>
    <x v="869"/>
    <x v="1"/>
    <x v="0"/>
    <x v="15"/>
    <x v="1"/>
    <x v="0"/>
    <x v="4"/>
    <x v="1"/>
    <x v="3"/>
    <x v="3"/>
    <x v="2"/>
    <x v="0"/>
    <x v="0"/>
    <x v="0"/>
    <x v="2"/>
    <x v="1"/>
  </r>
  <r>
    <x v="870"/>
    <x v="0"/>
    <x v="1"/>
    <x v="10"/>
    <x v="0"/>
    <x v="1"/>
    <x v="0"/>
    <x v="0"/>
    <x v="1"/>
    <x v="0"/>
    <x v="2"/>
    <x v="30"/>
    <x v="0"/>
    <x v="0"/>
    <x v="1"/>
    <x v="0"/>
  </r>
  <r>
    <x v="871"/>
    <x v="0"/>
    <x v="1"/>
    <x v="10"/>
    <x v="4"/>
    <x v="2"/>
    <x v="2"/>
    <x v="0"/>
    <x v="2"/>
    <x v="4"/>
    <x v="2"/>
    <x v="10"/>
    <x v="0"/>
    <x v="0"/>
    <x v="1"/>
    <x v="0"/>
  </r>
  <r>
    <x v="872"/>
    <x v="1"/>
    <x v="0"/>
    <x v="3"/>
    <x v="1"/>
    <x v="4"/>
    <x v="4"/>
    <x v="0"/>
    <x v="2"/>
    <x v="2"/>
    <x v="2"/>
    <x v="39"/>
    <x v="0"/>
    <x v="1"/>
    <x v="1"/>
    <x v="1"/>
  </r>
  <r>
    <x v="873"/>
    <x v="0"/>
    <x v="1"/>
    <x v="14"/>
    <x v="1"/>
    <x v="0"/>
    <x v="0"/>
    <x v="0"/>
    <x v="2"/>
    <x v="1"/>
    <x v="2"/>
    <x v="8"/>
    <x v="0"/>
    <x v="0"/>
    <x v="0"/>
    <x v="1"/>
  </r>
  <r>
    <x v="874"/>
    <x v="0"/>
    <x v="0"/>
    <x v="1"/>
    <x v="0"/>
    <x v="0"/>
    <x v="0"/>
    <x v="0"/>
    <x v="1"/>
    <x v="2"/>
    <x v="2"/>
    <x v="39"/>
    <x v="0"/>
    <x v="1"/>
    <x v="0"/>
    <x v="0"/>
  </r>
  <r>
    <x v="875"/>
    <x v="1"/>
    <x v="0"/>
    <x v="3"/>
    <x v="4"/>
    <x v="0"/>
    <x v="0"/>
    <x v="0"/>
    <x v="0"/>
    <x v="1"/>
    <x v="2"/>
    <x v="13"/>
    <x v="0"/>
    <x v="1"/>
    <x v="1"/>
    <x v="0"/>
  </r>
  <r>
    <x v="876"/>
    <x v="1"/>
    <x v="1"/>
    <x v="1"/>
    <x v="3"/>
    <x v="3"/>
    <x v="1"/>
    <x v="1"/>
    <x v="2"/>
    <x v="0"/>
    <x v="2"/>
    <x v="22"/>
    <x v="2"/>
    <x v="0"/>
    <x v="0"/>
    <x v="0"/>
  </r>
  <r>
    <x v="877"/>
    <x v="0"/>
    <x v="1"/>
    <x v="3"/>
    <x v="2"/>
    <x v="0"/>
    <x v="4"/>
    <x v="0"/>
    <x v="2"/>
    <x v="1"/>
    <x v="2"/>
    <x v="33"/>
    <x v="1"/>
    <x v="0"/>
    <x v="1"/>
    <x v="1"/>
  </r>
  <r>
    <x v="878"/>
    <x v="0"/>
    <x v="1"/>
    <x v="14"/>
    <x v="4"/>
    <x v="4"/>
    <x v="4"/>
    <x v="0"/>
    <x v="2"/>
    <x v="2"/>
    <x v="2"/>
    <x v="51"/>
    <x v="1"/>
    <x v="0"/>
    <x v="0"/>
    <x v="0"/>
  </r>
  <r>
    <x v="879"/>
    <x v="0"/>
    <x v="1"/>
    <x v="8"/>
    <x v="5"/>
    <x v="2"/>
    <x v="2"/>
    <x v="0"/>
    <x v="2"/>
    <x v="3"/>
    <x v="2"/>
    <x v="12"/>
    <x v="0"/>
    <x v="0"/>
    <x v="1"/>
    <x v="1"/>
  </r>
  <r>
    <x v="880"/>
    <x v="0"/>
    <x v="1"/>
    <x v="2"/>
    <x v="4"/>
    <x v="4"/>
    <x v="2"/>
    <x v="0"/>
    <x v="0"/>
    <x v="0"/>
    <x v="2"/>
    <x v="34"/>
    <x v="0"/>
    <x v="1"/>
    <x v="1"/>
    <x v="0"/>
  </r>
  <r>
    <x v="881"/>
    <x v="0"/>
    <x v="0"/>
    <x v="2"/>
    <x v="5"/>
    <x v="4"/>
    <x v="4"/>
    <x v="0"/>
    <x v="2"/>
    <x v="0"/>
    <x v="2"/>
    <x v="52"/>
    <x v="1"/>
    <x v="1"/>
    <x v="1"/>
    <x v="1"/>
  </r>
  <r>
    <x v="882"/>
    <x v="0"/>
    <x v="1"/>
    <x v="1"/>
    <x v="3"/>
    <x v="4"/>
    <x v="0"/>
    <x v="0"/>
    <x v="0"/>
    <x v="0"/>
    <x v="2"/>
    <x v="21"/>
    <x v="2"/>
    <x v="0"/>
    <x v="0"/>
    <x v="0"/>
  </r>
  <r>
    <x v="883"/>
    <x v="0"/>
    <x v="0"/>
    <x v="10"/>
    <x v="0"/>
    <x v="0"/>
    <x v="2"/>
    <x v="0"/>
    <x v="1"/>
    <x v="1"/>
    <x v="2"/>
    <x v="28"/>
    <x v="0"/>
    <x v="1"/>
    <x v="1"/>
    <x v="0"/>
  </r>
  <r>
    <x v="884"/>
    <x v="0"/>
    <x v="1"/>
    <x v="2"/>
    <x v="5"/>
    <x v="4"/>
    <x v="4"/>
    <x v="0"/>
    <x v="2"/>
    <x v="2"/>
    <x v="2"/>
    <x v="35"/>
    <x v="1"/>
    <x v="0"/>
    <x v="1"/>
    <x v="1"/>
  </r>
  <r>
    <x v="885"/>
    <x v="0"/>
    <x v="0"/>
    <x v="6"/>
    <x v="4"/>
    <x v="3"/>
    <x v="1"/>
    <x v="0"/>
    <x v="2"/>
    <x v="0"/>
    <x v="2"/>
    <x v="38"/>
    <x v="0"/>
    <x v="0"/>
    <x v="0"/>
    <x v="0"/>
  </r>
  <r>
    <x v="886"/>
    <x v="0"/>
    <x v="1"/>
    <x v="3"/>
    <x v="1"/>
    <x v="4"/>
    <x v="2"/>
    <x v="0"/>
    <x v="0"/>
    <x v="1"/>
    <x v="2"/>
    <x v="17"/>
    <x v="2"/>
    <x v="0"/>
    <x v="1"/>
    <x v="1"/>
  </r>
  <r>
    <x v="887"/>
    <x v="0"/>
    <x v="1"/>
    <x v="14"/>
    <x v="3"/>
    <x v="4"/>
    <x v="0"/>
    <x v="0"/>
    <x v="0"/>
    <x v="0"/>
    <x v="2"/>
    <x v="21"/>
    <x v="2"/>
    <x v="0"/>
    <x v="0"/>
    <x v="0"/>
  </r>
  <r>
    <x v="888"/>
    <x v="1"/>
    <x v="0"/>
    <x v="10"/>
    <x v="5"/>
    <x v="0"/>
    <x v="0"/>
    <x v="1"/>
    <x v="2"/>
    <x v="0"/>
    <x v="2"/>
    <x v="0"/>
    <x v="0"/>
    <x v="0"/>
    <x v="1"/>
    <x v="1"/>
  </r>
  <r>
    <x v="889"/>
    <x v="0"/>
    <x v="0"/>
    <x v="3"/>
    <x v="0"/>
    <x v="4"/>
    <x v="0"/>
    <x v="0"/>
    <x v="0"/>
    <x v="0"/>
    <x v="2"/>
    <x v="11"/>
    <x v="2"/>
    <x v="1"/>
    <x v="1"/>
    <x v="0"/>
  </r>
  <r>
    <x v="890"/>
    <x v="0"/>
    <x v="0"/>
    <x v="0"/>
    <x v="4"/>
    <x v="1"/>
    <x v="1"/>
    <x v="0"/>
    <x v="1"/>
    <x v="0"/>
    <x v="2"/>
    <x v="28"/>
    <x v="0"/>
    <x v="0"/>
    <x v="0"/>
    <x v="0"/>
  </r>
  <r>
    <x v="891"/>
    <x v="1"/>
    <x v="1"/>
    <x v="11"/>
    <x v="0"/>
    <x v="4"/>
    <x v="4"/>
    <x v="0"/>
    <x v="4"/>
    <x v="1"/>
    <x v="2"/>
    <x v="49"/>
    <x v="1"/>
    <x v="1"/>
    <x v="1"/>
    <x v="0"/>
  </r>
  <r>
    <x v="892"/>
    <x v="1"/>
    <x v="0"/>
    <x v="3"/>
    <x v="5"/>
    <x v="0"/>
    <x v="0"/>
    <x v="0"/>
    <x v="2"/>
    <x v="1"/>
    <x v="2"/>
    <x v="1"/>
    <x v="0"/>
    <x v="1"/>
    <x v="1"/>
    <x v="1"/>
  </r>
  <r>
    <x v="893"/>
    <x v="0"/>
    <x v="1"/>
    <x v="10"/>
    <x v="0"/>
    <x v="4"/>
    <x v="2"/>
    <x v="0"/>
    <x v="0"/>
    <x v="0"/>
    <x v="2"/>
    <x v="11"/>
    <x v="2"/>
    <x v="0"/>
    <x v="1"/>
    <x v="0"/>
  </r>
  <r>
    <x v="894"/>
    <x v="0"/>
    <x v="1"/>
    <x v="3"/>
    <x v="1"/>
    <x v="4"/>
    <x v="2"/>
    <x v="0"/>
    <x v="0"/>
    <x v="0"/>
    <x v="2"/>
    <x v="11"/>
    <x v="2"/>
    <x v="1"/>
    <x v="1"/>
    <x v="1"/>
  </r>
  <r>
    <x v="895"/>
    <x v="0"/>
    <x v="0"/>
    <x v="14"/>
    <x v="5"/>
    <x v="0"/>
    <x v="4"/>
    <x v="0"/>
    <x v="2"/>
    <x v="3"/>
    <x v="2"/>
    <x v="46"/>
    <x v="1"/>
    <x v="1"/>
    <x v="0"/>
    <x v="1"/>
  </r>
  <r>
    <x v="896"/>
    <x v="0"/>
    <x v="0"/>
    <x v="14"/>
    <x v="0"/>
    <x v="0"/>
    <x v="0"/>
    <x v="0"/>
    <x v="0"/>
    <x v="0"/>
    <x v="2"/>
    <x v="17"/>
    <x v="2"/>
    <x v="1"/>
    <x v="0"/>
    <x v="0"/>
  </r>
  <r>
    <x v="897"/>
    <x v="0"/>
    <x v="1"/>
    <x v="1"/>
    <x v="3"/>
    <x v="3"/>
    <x v="1"/>
    <x v="1"/>
    <x v="2"/>
    <x v="0"/>
    <x v="2"/>
    <x v="26"/>
    <x v="2"/>
    <x v="0"/>
    <x v="0"/>
    <x v="0"/>
  </r>
  <r>
    <x v="898"/>
    <x v="1"/>
    <x v="1"/>
    <x v="3"/>
    <x v="2"/>
    <x v="0"/>
    <x v="4"/>
    <x v="0"/>
    <x v="4"/>
    <x v="4"/>
    <x v="2"/>
    <x v="2"/>
    <x v="1"/>
    <x v="1"/>
    <x v="1"/>
    <x v="1"/>
  </r>
  <r>
    <x v="899"/>
    <x v="0"/>
    <x v="0"/>
    <x v="3"/>
    <x v="2"/>
    <x v="4"/>
    <x v="2"/>
    <x v="0"/>
    <x v="4"/>
    <x v="4"/>
    <x v="2"/>
    <x v="30"/>
    <x v="0"/>
    <x v="0"/>
    <x v="1"/>
    <x v="1"/>
  </r>
  <r>
    <x v="900"/>
    <x v="0"/>
    <x v="1"/>
    <x v="0"/>
    <x v="5"/>
    <x v="2"/>
    <x v="0"/>
    <x v="0"/>
    <x v="2"/>
    <x v="0"/>
    <x v="2"/>
    <x v="20"/>
    <x v="0"/>
    <x v="1"/>
    <x v="0"/>
    <x v="1"/>
  </r>
  <r>
    <x v="901"/>
    <x v="1"/>
    <x v="0"/>
    <x v="10"/>
    <x v="5"/>
    <x v="0"/>
    <x v="0"/>
    <x v="0"/>
    <x v="2"/>
    <x v="1"/>
    <x v="2"/>
    <x v="0"/>
    <x v="0"/>
    <x v="1"/>
    <x v="1"/>
    <x v="1"/>
  </r>
  <r>
    <x v="902"/>
    <x v="1"/>
    <x v="1"/>
    <x v="2"/>
    <x v="1"/>
    <x v="0"/>
    <x v="0"/>
    <x v="0"/>
    <x v="0"/>
    <x v="1"/>
    <x v="2"/>
    <x v="8"/>
    <x v="0"/>
    <x v="0"/>
    <x v="1"/>
    <x v="1"/>
  </r>
  <r>
    <x v="903"/>
    <x v="1"/>
    <x v="1"/>
    <x v="8"/>
    <x v="5"/>
    <x v="4"/>
    <x v="4"/>
    <x v="0"/>
    <x v="1"/>
    <x v="2"/>
    <x v="2"/>
    <x v="49"/>
    <x v="1"/>
    <x v="0"/>
    <x v="1"/>
    <x v="1"/>
  </r>
  <r>
    <x v="904"/>
    <x v="1"/>
    <x v="0"/>
    <x v="10"/>
    <x v="4"/>
    <x v="0"/>
    <x v="0"/>
    <x v="1"/>
    <x v="0"/>
    <x v="0"/>
    <x v="2"/>
    <x v="4"/>
    <x v="0"/>
    <x v="1"/>
    <x v="1"/>
    <x v="0"/>
  </r>
  <r>
    <x v="905"/>
    <x v="1"/>
    <x v="1"/>
    <x v="8"/>
    <x v="5"/>
    <x v="0"/>
    <x v="4"/>
    <x v="0"/>
    <x v="1"/>
    <x v="3"/>
    <x v="2"/>
    <x v="13"/>
    <x v="0"/>
    <x v="1"/>
    <x v="1"/>
    <x v="1"/>
  </r>
  <r>
    <x v="906"/>
    <x v="0"/>
    <x v="1"/>
    <x v="10"/>
    <x v="0"/>
    <x v="4"/>
    <x v="2"/>
    <x v="0"/>
    <x v="0"/>
    <x v="1"/>
    <x v="2"/>
    <x v="17"/>
    <x v="2"/>
    <x v="1"/>
    <x v="1"/>
    <x v="0"/>
  </r>
  <r>
    <x v="907"/>
    <x v="0"/>
    <x v="1"/>
    <x v="14"/>
    <x v="5"/>
    <x v="0"/>
    <x v="4"/>
    <x v="0"/>
    <x v="2"/>
    <x v="4"/>
    <x v="2"/>
    <x v="18"/>
    <x v="1"/>
    <x v="0"/>
    <x v="0"/>
    <x v="1"/>
  </r>
  <r>
    <x v="908"/>
    <x v="1"/>
    <x v="1"/>
    <x v="14"/>
    <x v="1"/>
    <x v="0"/>
    <x v="0"/>
    <x v="0"/>
    <x v="2"/>
    <x v="1"/>
    <x v="2"/>
    <x v="3"/>
    <x v="0"/>
    <x v="1"/>
    <x v="0"/>
    <x v="1"/>
  </r>
  <r>
    <x v="909"/>
    <x v="0"/>
    <x v="1"/>
    <x v="10"/>
    <x v="3"/>
    <x v="4"/>
    <x v="0"/>
    <x v="0"/>
    <x v="0"/>
    <x v="3"/>
    <x v="2"/>
    <x v="32"/>
    <x v="0"/>
    <x v="1"/>
    <x v="1"/>
    <x v="0"/>
  </r>
  <r>
    <x v="910"/>
    <x v="0"/>
    <x v="1"/>
    <x v="0"/>
    <x v="5"/>
    <x v="2"/>
    <x v="0"/>
    <x v="0"/>
    <x v="2"/>
    <x v="1"/>
    <x v="2"/>
    <x v="30"/>
    <x v="0"/>
    <x v="0"/>
    <x v="0"/>
    <x v="1"/>
  </r>
  <r>
    <x v="911"/>
    <x v="0"/>
    <x v="0"/>
    <x v="2"/>
    <x v="2"/>
    <x v="0"/>
    <x v="4"/>
    <x v="0"/>
    <x v="2"/>
    <x v="2"/>
    <x v="2"/>
    <x v="46"/>
    <x v="1"/>
    <x v="0"/>
    <x v="1"/>
    <x v="1"/>
  </r>
  <r>
    <x v="912"/>
    <x v="0"/>
    <x v="0"/>
    <x v="0"/>
    <x v="1"/>
    <x v="1"/>
    <x v="1"/>
    <x v="0"/>
    <x v="1"/>
    <x v="3"/>
    <x v="2"/>
    <x v="21"/>
    <x v="2"/>
    <x v="0"/>
    <x v="0"/>
    <x v="1"/>
  </r>
  <r>
    <x v="913"/>
    <x v="1"/>
    <x v="1"/>
    <x v="10"/>
    <x v="4"/>
    <x v="0"/>
    <x v="0"/>
    <x v="0"/>
    <x v="0"/>
    <x v="1"/>
    <x v="2"/>
    <x v="4"/>
    <x v="0"/>
    <x v="1"/>
    <x v="1"/>
    <x v="0"/>
  </r>
  <r>
    <x v="914"/>
    <x v="1"/>
    <x v="1"/>
    <x v="2"/>
    <x v="2"/>
    <x v="4"/>
    <x v="0"/>
    <x v="1"/>
    <x v="0"/>
    <x v="0"/>
    <x v="2"/>
    <x v="15"/>
    <x v="0"/>
    <x v="0"/>
    <x v="1"/>
    <x v="1"/>
  </r>
  <r>
    <x v="915"/>
    <x v="0"/>
    <x v="1"/>
    <x v="10"/>
    <x v="1"/>
    <x v="4"/>
    <x v="4"/>
    <x v="0"/>
    <x v="2"/>
    <x v="4"/>
    <x v="2"/>
    <x v="46"/>
    <x v="1"/>
    <x v="0"/>
    <x v="1"/>
    <x v="1"/>
  </r>
  <r>
    <x v="916"/>
    <x v="1"/>
    <x v="1"/>
    <x v="3"/>
    <x v="1"/>
    <x v="4"/>
    <x v="2"/>
    <x v="1"/>
    <x v="0"/>
    <x v="0"/>
    <x v="2"/>
    <x v="11"/>
    <x v="2"/>
    <x v="1"/>
    <x v="1"/>
    <x v="1"/>
  </r>
  <r>
    <x v="917"/>
    <x v="1"/>
    <x v="1"/>
    <x v="15"/>
    <x v="1"/>
    <x v="0"/>
    <x v="4"/>
    <x v="0"/>
    <x v="3"/>
    <x v="1"/>
    <x v="2"/>
    <x v="8"/>
    <x v="0"/>
    <x v="1"/>
    <x v="2"/>
    <x v="1"/>
  </r>
  <r>
    <x v="918"/>
    <x v="0"/>
    <x v="0"/>
    <x v="3"/>
    <x v="3"/>
    <x v="1"/>
    <x v="0"/>
    <x v="0"/>
    <x v="2"/>
    <x v="2"/>
    <x v="2"/>
    <x v="17"/>
    <x v="2"/>
    <x v="1"/>
    <x v="1"/>
    <x v="0"/>
  </r>
  <r>
    <x v="919"/>
    <x v="0"/>
    <x v="0"/>
    <x v="0"/>
    <x v="5"/>
    <x v="2"/>
    <x v="2"/>
    <x v="0"/>
    <x v="2"/>
    <x v="4"/>
    <x v="2"/>
    <x v="33"/>
    <x v="1"/>
    <x v="0"/>
    <x v="0"/>
    <x v="1"/>
  </r>
  <r>
    <x v="920"/>
    <x v="0"/>
    <x v="1"/>
    <x v="1"/>
    <x v="4"/>
    <x v="2"/>
    <x v="0"/>
    <x v="0"/>
    <x v="2"/>
    <x v="3"/>
    <x v="2"/>
    <x v="36"/>
    <x v="0"/>
    <x v="0"/>
    <x v="0"/>
    <x v="0"/>
  </r>
  <r>
    <x v="921"/>
    <x v="1"/>
    <x v="0"/>
    <x v="3"/>
    <x v="1"/>
    <x v="1"/>
    <x v="2"/>
    <x v="0"/>
    <x v="1"/>
    <x v="2"/>
    <x v="2"/>
    <x v="38"/>
    <x v="0"/>
    <x v="1"/>
    <x v="1"/>
    <x v="1"/>
  </r>
  <r>
    <x v="922"/>
    <x v="0"/>
    <x v="0"/>
    <x v="0"/>
    <x v="1"/>
    <x v="1"/>
    <x v="2"/>
    <x v="1"/>
    <x v="2"/>
    <x v="3"/>
    <x v="2"/>
    <x v="9"/>
    <x v="0"/>
    <x v="1"/>
    <x v="0"/>
    <x v="1"/>
  </r>
  <r>
    <x v="923"/>
    <x v="1"/>
    <x v="1"/>
    <x v="3"/>
    <x v="1"/>
    <x v="4"/>
    <x v="4"/>
    <x v="1"/>
    <x v="2"/>
    <x v="3"/>
    <x v="2"/>
    <x v="39"/>
    <x v="0"/>
    <x v="1"/>
    <x v="1"/>
    <x v="1"/>
  </r>
  <r>
    <x v="924"/>
    <x v="1"/>
    <x v="1"/>
    <x v="8"/>
    <x v="4"/>
    <x v="1"/>
    <x v="2"/>
    <x v="0"/>
    <x v="1"/>
    <x v="1"/>
    <x v="2"/>
    <x v="28"/>
    <x v="0"/>
    <x v="1"/>
    <x v="1"/>
    <x v="0"/>
  </r>
  <r>
    <x v="925"/>
    <x v="1"/>
    <x v="0"/>
    <x v="14"/>
    <x v="3"/>
    <x v="4"/>
    <x v="0"/>
    <x v="0"/>
    <x v="0"/>
    <x v="3"/>
    <x v="2"/>
    <x v="6"/>
    <x v="2"/>
    <x v="1"/>
    <x v="0"/>
    <x v="0"/>
  </r>
  <r>
    <x v="926"/>
    <x v="1"/>
    <x v="0"/>
    <x v="0"/>
    <x v="4"/>
    <x v="2"/>
    <x v="2"/>
    <x v="0"/>
    <x v="2"/>
    <x v="4"/>
    <x v="2"/>
    <x v="42"/>
    <x v="1"/>
    <x v="0"/>
    <x v="0"/>
    <x v="0"/>
  </r>
  <r>
    <x v="927"/>
    <x v="0"/>
    <x v="0"/>
    <x v="3"/>
    <x v="3"/>
    <x v="4"/>
    <x v="2"/>
    <x v="0"/>
    <x v="0"/>
    <x v="1"/>
    <x v="2"/>
    <x v="32"/>
    <x v="0"/>
    <x v="0"/>
    <x v="1"/>
    <x v="0"/>
  </r>
  <r>
    <x v="928"/>
    <x v="0"/>
    <x v="1"/>
    <x v="10"/>
    <x v="4"/>
    <x v="2"/>
    <x v="2"/>
    <x v="0"/>
    <x v="2"/>
    <x v="2"/>
    <x v="2"/>
    <x v="28"/>
    <x v="0"/>
    <x v="0"/>
    <x v="1"/>
    <x v="0"/>
  </r>
  <r>
    <x v="929"/>
    <x v="0"/>
    <x v="1"/>
    <x v="10"/>
    <x v="4"/>
    <x v="2"/>
    <x v="2"/>
    <x v="0"/>
    <x v="2"/>
    <x v="2"/>
    <x v="2"/>
    <x v="5"/>
    <x v="0"/>
    <x v="0"/>
    <x v="1"/>
    <x v="0"/>
  </r>
  <r>
    <x v="930"/>
    <x v="0"/>
    <x v="1"/>
    <x v="3"/>
    <x v="2"/>
    <x v="4"/>
    <x v="2"/>
    <x v="1"/>
    <x v="4"/>
    <x v="4"/>
    <x v="2"/>
    <x v="15"/>
    <x v="0"/>
    <x v="0"/>
    <x v="1"/>
    <x v="1"/>
  </r>
  <r>
    <x v="931"/>
    <x v="0"/>
    <x v="0"/>
    <x v="0"/>
    <x v="0"/>
    <x v="1"/>
    <x v="1"/>
    <x v="0"/>
    <x v="1"/>
    <x v="3"/>
    <x v="2"/>
    <x v="38"/>
    <x v="0"/>
    <x v="1"/>
    <x v="0"/>
    <x v="0"/>
  </r>
  <r>
    <x v="932"/>
    <x v="1"/>
    <x v="0"/>
    <x v="0"/>
    <x v="3"/>
    <x v="2"/>
    <x v="0"/>
    <x v="1"/>
    <x v="2"/>
    <x v="0"/>
    <x v="2"/>
    <x v="40"/>
    <x v="2"/>
    <x v="1"/>
    <x v="0"/>
    <x v="0"/>
  </r>
  <r>
    <x v="933"/>
    <x v="1"/>
    <x v="1"/>
    <x v="10"/>
    <x v="3"/>
    <x v="1"/>
    <x v="0"/>
    <x v="0"/>
    <x v="0"/>
    <x v="2"/>
    <x v="2"/>
    <x v="19"/>
    <x v="2"/>
    <x v="0"/>
    <x v="1"/>
    <x v="0"/>
  </r>
  <r>
    <x v="934"/>
    <x v="0"/>
    <x v="1"/>
    <x v="10"/>
    <x v="4"/>
    <x v="0"/>
    <x v="4"/>
    <x v="0"/>
    <x v="0"/>
    <x v="1"/>
    <x v="2"/>
    <x v="14"/>
    <x v="1"/>
    <x v="0"/>
    <x v="1"/>
    <x v="0"/>
  </r>
  <r>
    <x v="935"/>
    <x v="0"/>
    <x v="0"/>
    <x v="10"/>
    <x v="0"/>
    <x v="1"/>
    <x v="0"/>
    <x v="0"/>
    <x v="1"/>
    <x v="0"/>
    <x v="2"/>
    <x v="12"/>
    <x v="0"/>
    <x v="1"/>
    <x v="1"/>
    <x v="0"/>
  </r>
  <r>
    <x v="936"/>
    <x v="0"/>
    <x v="0"/>
    <x v="10"/>
    <x v="5"/>
    <x v="0"/>
    <x v="4"/>
    <x v="0"/>
    <x v="2"/>
    <x v="1"/>
    <x v="2"/>
    <x v="2"/>
    <x v="1"/>
    <x v="0"/>
    <x v="1"/>
    <x v="1"/>
  </r>
  <r>
    <x v="937"/>
    <x v="0"/>
    <x v="1"/>
    <x v="3"/>
    <x v="5"/>
    <x v="4"/>
    <x v="2"/>
    <x v="0"/>
    <x v="0"/>
    <x v="0"/>
    <x v="2"/>
    <x v="4"/>
    <x v="0"/>
    <x v="1"/>
    <x v="1"/>
    <x v="1"/>
  </r>
  <r>
    <x v="938"/>
    <x v="0"/>
    <x v="0"/>
    <x v="0"/>
    <x v="3"/>
    <x v="2"/>
    <x v="0"/>
    <x v="0"/>
    <x v="2"/>
    <x v="2"/>
    <x v="2"/>
    <x v="40"/>
    <x v="2"/>
    <x v="0"/>
    <x v="0"/>
    <x v="0"/>
  </r>
  <r>
    <x v="939"/>
    <x v="1"/>
    <x v="1"/>
    <x v="2"/>
    <x v="4"/>
    <x v="3"/>
    <x v="0"/>
    <x v="1"/>
    <x v="2"/>
    <x v="3"/>
    <x v="2"/>
    <x v="5"/>
    <x v="0"/>
    <x v="0"/>
    <x v="1"/>
    <x v="0"/>
  </r>
  <r>
    <x v="940"/>
    <x v="1"/>
    <x v="0"/>
    <x v="10"/>
    <x v="0"/>
    <x v="4"/>
    <x v="0"/>
    <x v="0"/>
    <x v="0"/>
    <x v="3"/>
    <x v="2"/>
    <x v="11"/>
    <x v="2"/>
    <x v="0"/>
    <x v="1"/>
    <x v="0"/>
  </r>
  <r>
    <x v="941"/>
    <x v="0"/>
    <x v="0"/>
    <x v="10"/>
    <x v="0"/>
    <x v="4"/>
    <x v="0"/>
    <x v="0"/>
    <x v="0"/>
    <x v="1"/>
    <x v="2"/>
    <x v="17"/>
    <x v="2"/>
    <x v="1"/>
    <x v="1"/>
    <x v="0"/>
  </r>
  <r>
    <x v="942"/>
    <x v="0"/>
    <x v="0"/>
    <x v="0"/>
    <x v="1"/>
    <x v="1"/>
    <x v="2"/>
    <x v="0"/>
    <x v="2"/>
    <x v="2"/>
    <x v="2"/>
    <x v="9"/>
    <x v="0"/>
    <x v="0"/>
    <x v="0"/>
    <x v="1"/>
  </r>
  <r>
    <x v="943"/>
    <x v="0"/>
    <x v="0"/>
    <x v="10"/>
    <x v="5"/>
    <x v="0"/>
    <x v="0"/>
    <x v="1"/>
    <x v="2"/>
    <x v="0"/>
    <x v="2"/>
    <x v="0"/>
    <x v="0"/>
    <x v="0"/>
    <x v="1"/>
    <x v="1"/>
  </r>
  <r>
    <x v="944"/>
    <x v="0"/>
    <x v="0"/>
    <x v="14"/>
    <x v="0"/>
    <x v="0"/>
    <x v="0"/>
    <x v="0"/>
    <x v="0"/>
    <x v="1"/>
    <x v="2"/>
    <x v="17"/>
    <x v="2"/>
    <x v="1"/>
    <x v="0"/>
    <x v="0"/>
  </r>
  <r>
    <x v="945"/>
    <x v="1"/>
    <x v="1"/>
    <x v="14"/>
    <x v="4"/>
    <x v="0"/>
    <x v="0"/>
    <x v="1"/>
    <x v="1"/>
    <x v="0"/>
    <x v="2"/>
    <x v="13"/>
    <x v="0"/>
    <x v="1"/>
    <x v="0"/>
    <x v="0"/>
  </r>
  <r>
    <x v="946"/>
    <x v="0"/>
    <x v="0"/>
    <x v="8"/>
    <x v="2"/>
    <x v="0"/>
    <x v="4"/>
    <x v="0"/>
    <x v="2"/>
    <x v="3"/>
    <x v="2"/>
    <x v="18"/>
    <x v="1"/>
    <x v="1"/>
    <x v="1"/>
    <x v="1"/>
  </r>
  <r>
    <x v="947"/>
    <x v="1"/>
    <x v="0"/>
    <x v="8"/>
    <x v="5"/>
    <x v="2"/>
    <x v="2"/>
    <x v="1"/>
    <x v="4"/>
    <x v="3"/>
    <x v="2"/>
    <x v="12"/>
    <x v="0"/>
    <x v="1"/>
    <x v="1"/>
    <x v="1"/>
  </r>
  <r>
    <x v="948"/>
    <x v="1"/>
    <x v="0"/>
    <x v="10"/>
    <x v="3"/>
    <x v="4"/>
    <x v="0"/>
    <x v="1"/>
    <x v="0"/>
    <x v="0"/>
    <x v="2"/>
    <x v="8"/>
    <x v="0"/>
    <x v="0"/>
    <x v="1"/>
    <x v="0"/>
  </r>
  <r>
    <x v="949"/>
    <x v="0"/>
    <x v="1"/>
    <x v="3"/>
    <x v="4"/>
    <x v="3"/>
    <x v="0"/>
    <x v="0"/>
    <x v="2"/>
    <x v="4"/>
    <x v="2"/>
    <x v="39"/>
    <x v="0"/>
    <x v="0"/>
    <x v="1"/>
    <x v="0"/>
  </r>
  <r>
    <x v="950"/>
    <x v="1"/>
    <x v="0"/>
    <x v="3"/>
    <x v="0"/>
    <x v="4"/>
    <x v="2"/>
    <x v="0"/>
    <x v="0"/>
    <x v="1"/>
    <x v="2"/>
    <x v="17"/>
    <x v="2"/>
    <x v="0"/>
    <x v="1"/>
    <x v="0"/>
  </r>
  <r>
    <x v="951"/>
    <x v="0"/>
    <x v="1"/>
    <x v="3"/>
    <x v="3"/>
    <x v="0"/>
    <x v="2"/>
    <x v="1"/>
    <x v="1"/>
    <x v="0"/>
    <x v="2"/>
    <x v="13"/>
    <x v="0"/>
    <x v="0"/>
    <x v="1"/>
    <x v="0"/>
  </r>
  <r>
    <x v="952"/>
    <x v="0"/>
    <x v="0"/>
    <x v="3"/>
    <x v="5"/>
    <x v="0"/>
    <x v="4"/>
    <x v="1"/>
    <x v="1"/>
    <x v="3"/>
    <x v="2"/>
    <x v="14"/>
    <x v="1"/>
    <x v="0"/>
    <x v="1"/>
    <x v="1"/>
  </r>
  <r>
    <x v="953"/>
    <x v="1"/>
    <x v="0"/>
    <x v="0"/>
    <x v="1"/>
    <x v="1"/>
    <x v="1"/>
    <x v="0"/>
    <x v="1"/>
    <x v="3"/>
    <x v="2"/>
    <x v="25"/>
    <x v="2"/>
    <x v="1"/>
    <x v="0"/>
    <x v="1"/>
  </r>
  <r>
    <x v="954"/>
    <x v="0"/>
    <x v="1"/>
    <x v="10"/>
    <x v="0"/>
    <x v="0"/>
    <x v="2"/>
    <x v="0"/>
    <x v="1"/>
    <x v="0"/>
    <x v="2"/>
    <x v="28"/>
    <x v="0"/>
    <x v="1"/>
    <x v="1"/>
    <x v="0"/>
  </r>
  <r>
    <x v="955"/>
    <x v="0"/>
    <x v="0"/>
    <x v="0"/>
    <x v="5"/>
    <x v="2"/>
    <x v="0"/>
    <x v="0"/>
    <x v="2"/>
    <x v="1"/>
    <x v="2"/>
    <x v="1"/>
    <x v="0"/>
    <x v="0"/>
    <x v="0"/>
    <x v="1"/>
  </r>
  <r>
    <x v="956"/>
    <x v="0"/>
    <x v="0"/>
    <x v="3"/>
    <x v="5"/>
    <x v="4"/>
    <x v="2"/>
    <x v="0"/>
    <x v="0"/>
    <x v="1"/>
    <x v="2"/>
    <x v="11"/>
    <x v="2"/>
    <x v="1"/>
    <x v="1"/>
    <x v="1"/>
  </r>
  <r>
    <x v="957"/>
    <x v="0"/>
    <x v="0"/>
    <x v="10"/>
    <x v="3"/>
    <x v="1"/>
    <x v="2"/>
    <x v="0"/>
    <x v="2"/>
    <x v="2"/>
    <x v="2"/>
    <x v="25"/>
    <x v="2"/>
    <x v="0"/>
    <x v="1"/>
    <x v="0"/>
  </r>
  <r>
    <x v="958"/>
    <x v="0"/>
    <x v="1"/>
    <x v="8"/>
    <x v="2"/>
    <x v="4"/>
    <x v="2"/>
    <x v="0"/>
    <x v="0"/>
    <x v="0"/>
    <x v="2"/>
    <x v="15"/>
    <x v="0"/>
    <x v="1"/>
    <x v="1"/>
    <x v="1"/>
  </r>
  <r>
    <x v="959"/>
    <x v="0"/>
    <x v="1"/>
    <x v="10"/>
    <x v="0"/>
    <x v="1"/>
    <x v="0"/>
    <x v="0"/>
    <x v="1"/>
    <x v="1"/>
    <x v="2"/>
    <x v="12"/>
    <x v="0"/>
    <x v="1"/>
    <x v="1"/>
    <x v="0"/>
  </r>
  <r>
    <x v="960"/>
    <x v="1"/>
    <x v="1"/>
    <x v="11"/>
    <x v="3"/>
    <x v="1"/>
    <x v="2"/>
    <x v="1"/>
    <x v="3"/>
    <x v="3"/>
    <x v="2"/>
    <x v="12"/>
    <x v="0"/>
    <x v="0"/>
    <x v="1"/>
    <x v="0"/>
  </r>
  <r>
    <x v="961"/>
    <x v="0"/>
    <x v="0"/>
    <x v="7"/>
    <x v="4"/>
    <x v="0"/>
    <x v="4"/>
    <x v="0"/>
    <x v="4"/>
    <x v="2"/>
    <x v="2"/>
    <x v="24"/>
    <x v="1"/>
    <x v="0"/>
    <x v="2"/>
    <x v="0"/>
  </r>
  <r>
    <x v="962"/>
    <x v="0"/>
    <x v="1"/>
    <x v="10"/>
    <x v="4"/>
    <x v="1"/>
    <x v="2"/>
    <x v="0"/>
    <x v="2"/>
    <x v="4"/>
    <x v="2"/>
    <x v="10"/>
    <x v="0"/>
    <x v="0"/>
    <x v="1"/>
    <x v="0"/>
  </r>
  <r>
    <x v="963"/>
    <x v="0"/>
    <x v="0"/>
    <x v="8"/>
    <x v="2"/>
    <x v="0"/>
    <x v="4"/>
    <x v="0"/>
    <x v="2"/>
    <x v="3"/>
    <x v="2"/>
    <x v="29"/>
    <x v="1"/>
    <x v="1"/>
    <x v="1"/>
    <x v="1"/>
  </r>
  <r>
    <x v="964"/>
    <x v="1"/>
    <x v="1"/>
    <x v="3"/>
    <x v="5"/>
    <x v="1"/>
    <x v="2"/>
    <x v="0"/>
    <x v="1"/>
    <x v="4"/>
    <x v="2"/>
    <x v="16"/>
    <x v="1"/>
    <x v="0"/>
    <x v="1"/>
    <x v="1"/>
  </r>
  <r>
    <x v="965"/>
    <x v="1"/>
    <x v="0"/>
    <x v="14"/>
    <x v="1"/>
    <x v="0"/>
    <x v="0"/>
    <x v="1"/>
    <x v="1"/>
    <x v="0"/>
    <x v="2"/>
    <x v="8"/>
    <x v="0"/>
    <x v="0"/>
    <x v="0"/>
    <x v="1"/>
  </r>
  <r>
    <x v="966"/>
    <x v="0"/>
    <x v="0"/>
    <x v="14"/>
    <x v="3"/>
    <x v="4"/>
    <x v="0"/>
    <x v="0"/>
    <x v="0"/>
    <x v="3"/>
    <x v="2"/>
    <x v="6"/>
    <x v="2"/>
    <x v="1"/>
    <x v="0"/>
    <x v="0"/>
  </r>
  <r>
    <x v="967"/>
    <x v="0"/>
    <x v="1"/>
    <x v="2"/>
    <x v="1"/>
    <x v="0"/>
    <x v="4"/>
    <x v="0"/>
    <x v="1"/>
    <x v="3"/>
    <x v="2"/>
    <x v="16"/>
    <x v="1"/>
    <x v="0"/>
    <x v="1"/>
    <x v="1"/>
  </r>
  <r>
    <x v="968"/>
    <x v="1"/>
    <x v="1"/>
    <x v="1"/>
    <x v="3"/>
    <x v="3"/>
    <x v="1"/>
    <x v="1"/>
    <x v="2"/>
    <x v="2"/>
    <x v="2"/>
    <x v="40"/>
    <x v="2"/>
    <x v="0"/>
    <x v="0"/>
    <x v="0"/>
  </r>
  <r>
    <x v="969"/>
    <x v="0"/>
    <x v="1"/>
    <x v="10"/>
    <x v="3"/>
    <x v="4"/>
    <x v="2"/>
    <x v="1"/>
    <x v="0"/>
    <x v="0"/>
    <x v="2"/>
    <x v="32"/>
    <x v="0"/>
    <x v="0"/>
    <x v="1"/>
    <x v="0"/>
  </r>
  <r>
    <x v="970"/>
    <x v="0"/>
    <x v="0"/>
    <x v="10"/>
    <x v="3"/>
    <x v="1"/>
    <x v="0"/>
    <x v="0"/>
    <x v="2"/>
    <x v="2"/>
    <x v="2"/>
    <x v="23"/>
    <x v="2"/>
    <x v="0"/>
    <x v="1"/>
    <x v="0"/>
  </r>
  <r>
    <x v="971"/>
    <x v="1"/>
    <x v="0"/>
    <x v="10"/>
    <x v="4"/>
    <x v="3"/>
    <x v="0"/>
    <x v="1"/>
    <x v="2"/>
    <x v="3"/>
    <x v="2"/>
    <x v="36"/>
    <x v="0"/>
    <x v="0"/>
    <x v="1"/>
    <x v="0"/>
  </r>
  <r>
    <x v="972"/>
    <x v="0"/>
    <x v="0"/>
    <x v="1"/>
    <x v="0"/>
    <x v="2"/>
    <x v="1"/>
    <x v="0"/>
    <x v="1"/>
    <x v="2"/>
    <x v="2"/>
    <x v="31"/>
    <x v="0"/>
    <x v="0"/>
    <x v="0"/>
    <x v="0"/>
  </r>
  <r>
    <x v="973"/>
    <x v="0"/>
    <x v="1"/>
    <x v="10"/>
    <x v="0"/>
    <x v="1"/>
    <x v="0"/>
    <x v="1"/>
    <x v="1"/>
    <x v="0"/>
    <x v="2"/>
    <x v="15"/>
    <x v="0"/>
    <x v="0"/>
    <x v="1"/>
    <x v="0"/>
  </r>
  <r>
    <x v="974"/>
    <x v="0"/>
    <x v="1"/>
    <x v="3"/>
    <x v="1"/>
    <x v="4"/>
    <x v="4"/>
    <x v="0"/>
    <x v="2"/>
    <x v="2"/>
    <x v="2"/>
    <x v="39"/>
    <x v="0"/>
    <x v="1"/>
    <x v="1"/>
    <x v="1"/>
  </r>
  <r>
    <x v="975"/>
    <x v="0"/>
    <x v="1"/>
    <x v="3"/>
    <x v="1"/>
    <x v="4"/>
    <x v="2"/>
    <x v="0"/>
    <x v="0"/>
    <x v="0"/>
    <x v="2"/>
    <x v="11"/>
    <x v="2"/>
    <x v="1"/>
    <x v="1"/>
    <x v="1"/>
  </r>
  <r>
    <x v="976"/>
    <x v="0"/>
    <x v="0"/>
    <x v="10"/>
    <x v="1"/>
    <x v="0"/>
    <x v="4"/>
    <x v="0"/>
    <x v="2"/>
    <x v="4"/>
    <x v="2"/>
    <x v="29"/>
    <x v="1"/>
    <x v="0"/>
    <x v="1"/>
    <x v="1"/>
  </r>
  <r>
    <x v="977"/>
    <x v="1"/>
    <x v="0"/>
    <x v="2"/>
    <x v="5"/>
    <x v="4"/>
    <x v="4"/>
    <x v="0"/>
    <x v="2"/>
    <x v="2"/>
    <x v="2"/>
    <x v="27"/>
    <x v="1"/>
    <x v="0"/>
    <x v="1"/>
    <x v="1"/>
  </r>
  <r>
    <x v="978"/>
    <x v="0"/>
    <x v="1"/>
    <x v="2"/>
    <x v="2"/>
    <x v="1"/>
    <x v="2"/>
    <x v="0"/>
    <x v="4"/>
    <x v="2"/>
    <x v="2"/>
    <x v="12"/>
    <x v="0"/>
    <x v="0"/>
    <x v="1"/>
    <x v="1"/>
  </r>
  <r>
    <x v="979"/>
    <x v="1"/>
    <x v="1"/>
    <x v="0"/>
    <x v="3"/>
    <x v="2"/>
    <x v="0"/>
    <x v="0"/>
    <x v="1"/>
    <x v="2"/>
    <x v="2"/>
    <x v="23"/>
    <x v="2"/>
    <x v="0"/>
    <x v="0"/>
    <x v="0"/>
  </r>
  <r>
    <x v="980"/>
    <x v="1"/>
    <x v="0"/>
    <x v="2"/>
    <x v="1"/>
    <x v="0"/>
    <x v="0"/>
    <x v="0"/>
    <x v="4"/>
    <x v="4"/>
    <x v="2"/>
    <x v="8"/>
    <x v="0"/>
    <x v="1"/>
    <x v="1"/>
    <x v="1"/>
  </r>
  <r>
    <x v="981"/>
    <x v="0"/>
    <x v="1"/>
    <x v="15"/>
    <x v="2"/>
    <x v="1"/>
    <x v="2"/>
    <x v="0"/>
    <x v="3"/>
    <x v="1"/>
    <x v="2"/>
    <x v="30"/>
    <x v="0"/>
    <x v="0"/>
    <x v="2"/>
    <x v="1"/>
  </r>
  <r>
    <x v="982"/>
    <x v="1"/>
    <x v="1"/>
    <x v="0"/>
    <x v="4"/>
    <x v="1"/>
    <x v="1"/>
    <x v="1"/>
    <x v="1"/>
    <x v="3"/>
    <x v="2"/>
    <x v="15"/>
    <x v="0"/>
    <x v="1"/>
    <x v="0"/>
    <x v="0"/>
  </r>
  <r>
    <x v="983"/>
    <x v="0"/>
    <x v="1"/>
    <x v="12"/>
    <x v="4"/>
    <x v="4"/>
    <x v="4"/>
    <x v="0"/>
    <x v="2"/>
    <x v="0"/>
    <x v="2"/>
    <x v="3"/>
    <x v="0"/>
    <x v="0"/>
    <x v="2"/>
    <x v="0"/>
  </r>
  <r>
    <x v="984"/>
    <x v="0"/>
    <x v="1"/>
    <x v="10"/>
    <x v="4"/>
    <x v="2"/>
    <x v="2"/>
    <x v="1"/>
    <x v="2"/>
    <x v="3"/>
    <x v="2"/>
    <x v="28"/>
    <x v="0"/>
    <x v="1"/>
    <x v="1"/>
    <x v="0"/>
  </r>
  <r>
    <x v="985"/>
    <x v="1"/>
    <x v="0"/>
    <x v="14"/>
    <x v="5"/>
    <x v="0"/>
    <x v="0"/>
    <x v="0"/>
    <x v="2"/>
    <x v="0"/>
    <x v="2"/>
    <x v="0"/>
    <x v="0"/>
    <x v="0"/>
    <x v="0"/>
    <x v="1"/>
  </r>
  <r>
    <x v="986"/>
    <x v="1"/>
    <x v="1"/>
    <x v="0"/>
    <x v="2"/>
    <x v="2"/>
    <x v="2"/>
    <x v="0"/>
    <x v="3"/>
    <x v="4"/>
    <x v="2"/>
    <x v="2"/>
    <x v="1"/>
    <x v="1"/>
    <x v="0"/>
    <x v="1"/>
  </r>
  <r>
    <x v="987"/>
    <x v="1"/>
    <x v="0"/>
    <x v="10"/>
    <x v="1"/>
    <x v="4"/>
    <x v="4"/>
    <x v="0"/>
    <x v="2"/>
    <x v="4"/>
    <x v="2"/>
    <x v="29"/>
    <x v="1"/>
    <x v="0"/>
    <x v="1"/>
    <x v="1"/>
  </r>
  <r>
    <x v="988"/>
    <x v="0"/>
    <x v="1"/>
    <x v="3"/>
    <x v="2"/>
    <x v="0"/>
    <x v="4"/>
    <x v="0"/>
    <x v="2"/>
    <x v="4"/>
    <x v="2"/>
    <x v="18"/>
    <x v="1"/>
    <x v="0"/>
    <x v="1"/>
    <x v="1"/>
  </r>
  <r>
    <x v="989"/>
    <x v="0"/>
    <x v="1"/>
    <x v="10"/>
    <x v="5"/>
    <x v="0"/>
    <x v="0"/>
    <x v="1"/>
    <x v="4"/>
    <x v="4"/>
    <x v="2"/>
    <x v="0"/>
    <x v="0"/>
    <x v="0"/>
    <x v="1"/>
    <x v="1"/>
  </r>
  <r>
    <x v="990"/>
    <x v="1"/>
    <x v="0"/>
    <x v="1"/>
    <x v="3"/>
    <x v="2"/>
    <x v="0"/>
    <x v="1"/>
    <x v="2"/>
    <x v="2"/>
    <x v="2"/>
    <x v="22"/>
    <x v="2"/>
    <x v="0"/>
    <x v="0"/>
    <x v="0"/>
  </r>
  <r>
    <x v="991"/>
    <x v="1"/>
    <x v="0"/>
    <x v="10"/>
    <x v="0"/>
    <x v="4"/>
    <x v="2"/>
    <x v="0"/>
    <x v="0"/>
    <x v="1"/>
    <x v="2"/>
    <x v="4"/>
    <x v="0"/>
    <x v="1"/>
    <x v="1"/>
    <x v="0"/>
  </r>
  <r>
    <x v="992"/>
    <x v="0"/>
    <x v="1"/>
    <x v="8"/>
    <x v="4"/>
    <x v="1"/>
    <x v="2"/>
    <x v="1"/>
    <x v="0"/>
    <x v="2"/>
    <x v="2"/>
    <x v="38"/>
    <x v="0"/>
    <x v="1"/>
    <x v="1"/>
    <x v="0"/>
  </r>
  <r>
    <x v="993"/>
    <x v="1"/>
    <x v="1"/>
    <x v="13"/>
    <x v="0"/>
    <x v="1"/>
    <x v="2"/>
    <x v="1"/>
    <x v="4"/>
    <x v="0"/>
    <x v="2"/>
    <x v="20"/>
    <x v="0"/>
    <x v="1"/>
    <x v="2"/>
    <x v="0"/>
  </r>
  <r>
    <x v="994"/>
    <x v="0"/>
    <x v="1"/>
    <x v="2"/>
    <x v="2"/>
    <x v="1"/>
    <x v="2"/>
    <x v="0"/>
    <x v="4"/>
    <x v="3"/>
    <x v="2"/>
    <x v="30"/>
    <x v="0"/>
    <x v="0"/>
    <x v="1"/>
    <x v="1"/>
  </r>
  <r>
    <x v="995"/>
    <x v="0"/>
    <x v="1"/>
    <x v="10"/>
    <x v="4"/>
    <x v="2"/>
    <x v="2"/>
    <x v="0"/>
    <x v="2"/>
    <x v="1"/>
    <x v="2"/>
    <x v="9"/>
    <x v="0"/>
    <x v="1"/>
    <x v="1"/>
    <x v="0"/>
  </r>
  <r>
    <x v="996"/>
    <x v="1"/>
    <x v="1"/>
    <x v="3"/>
    <x v="5"/>
    <x v="4"/>
    <x v="2"/>
    <x v="0"/>
    <x v="0"/>
    <x v="1"/>
    <x v="2"/>
    <x v="11"/>
    <x v="2"/>
    <x v="1"/>
    <x v="1"/>
    <x v="1"/>
  </r>
  <r>
    <x v="997"/>
    <x v="0"/>
    <x v="1"/>
    <x v="10"/>
    <x v="4"/>
    <x v="0"/>
    <x v="0"/>
    <x v="0"/>
    <x v="0"/>
    <x v="0"/>
    <x v="2"/>
    <x v="13"/>
    <x v="0"/>
    <x v="1"/>
    <x v="1"/>
    <x v="0"/>
  </r>
  <r>
    <x v="998"/>
    <x v="1"/>
    <x v="1"/>
    <x v="11"/>
    <x v="1"/>
    <x v="0"/>
    <x v="4"/>
    <x v="1"/>
    <x v="4"/>
    <x v="3"/>
    <x v="2"/>
    <x v="13"/>
    <x v="0"/>
    <x v="0"/>
    <x v="1"/>
    <x v="1"/>
  </r>
  <r>
    <x v="999"/>
    <x v="1"/>
    <x v="1"/>
    <x v="10"/>
    <x v="1"/>
    <x v="2"/>
    <x v="2"/>
    <x v="0"/>
    <x v="2"/>
    <x v="4"/>
    <x v="2"/>
    <x v="39"/>
    <x v="0"/>
    <x v="1"/>
    <x v="1"/>
    <x v="1"/>
  </r>
  <r>
    <x v="5"/>
    <x v="0"/>
    <x v="0"/>
    <x v="4"/>
    <x v="4"/>
    <x v="1"/>
    <x v="3"/>
    <x v="0"/>
    <x v="0"/>
    <x v="3"/>
    <x v="0"/>
    <x v="5"/>
    <x v="0"/>
    <x v="0"/>
    <x v="0"/>
    <x v="0"/>
  </r>
  <r>
    <x v="9"/>
    <x v="0"/>
    <x v="1"/>
    <x v="7"/>
    <x v="4"/>
    <x v="1"/>
    <x v="3"/>
    <x v="0"/>
    <x v="1"/>
    <x v="0"/>
    <x v="0"/>
    <x v="8"/>
    <x v="0"/>
    <x v="1"/>
    <x v="2"/>
    <x v="0"/>
  </r>
  <r>
    <x v="10"/>
    <x v="0"/>
    <x v="0"/>
    <x v="1"/>
    <x v="1"/>
    <x v="2"/>
    <x v="0"/>
    <x v="1"/>
    <x v="2"/>
    <x v="3"/>
    <x v="1"/>
    <x v="9"/>
    <x v="0"/>
    <x v="1"/>
    <x v="0"/>
    <x v="1"/>
  </r>
  <r>
    <x v="11"/>
    <x v="1"/>
    <x v="0"/>
    <x v="8"/>
    <x v="3"/>
    <x v="0"/>
    <x v="2"/>
    <x v="1"/>
    <x v="3"/>
    <x v="4"/>
    <x v="1"/>
    <x v="4"/>
    <x v="0"/>
    <x v="0"/>
    <x v="1"/>
    <x v="0"/>
  </r>
  <r>
    <x v="12"/>
    <x v="0"/>
    <x v="1"/>
    <x v="9"/>
    <x v="2"/>
    <x v="1"/>
    <x v="2"/>
    <x v="0"/>
    <x v="0"/>
    <x v="0"/>
    <x v="0"/>
    <x v="10"/>
    <x v="0"/>
    <x v="0"/>
    <x v="2"/>
    <x v="1"/>
  </r>
  <r>
    <x v="13"/>
    <x v="0"/>
    <x v="1"/>
    <x v="0"/>
    <x v="4"/>
    <x v="1"/>
    <x v="1"/>
    <x v="0"/>
    <x v="1"/>
    <x v="3"/>
    <x v="0"/>
    <x v="11"/>
    <x v="2"/>
    <x v="1"/>
    <x v="0"/>
    <x v="0"/>
  </r>
  <r>
    <x v="14"/>
    <x v="1"/>
    <x v="1"/>
    <x v="10"/>
    <x v="0"/>
    <x v="1"/>
    <x v="0"/>
    <x v="1"/>
    <x v="1"/>
    <x v="0"/>
    <x v="1"/>
    <x v="12"/>
    <x v="0"/>
    <x v="1"/>
    <x v="1"/>
    <x v="0"/>
  </r>
  <r>
    <x v="15"/>
    <x v="1"/>
    <x v="0"/>
    <x v="4"/>
    <x v="4"/>
    <x v="2"/>
    <x v="3"/>
    <x v="0"/>
    <x v="1"/>
    <x v="0"/>
    <x v="0"/>
    <x v="13"/>
    <x v="0"/>
    <x v="1"/>
    <x v="0"/>
    <x v="0"/>
  </r>
  <r>
    <x v="16"/>
    <x v="1"/>
    <x v="1"/>
    <x v="1"/>
    <x v="1"/>
    <x v="1"/>
    <x v="1"/>
    <x v="1"/>
    <x v="2"/>
    <x v="3"/>
    <x v="1"/>
    <x v="14"/>
    <x v="1"/>
    <x v="1"/>
    <x v="0"/>
    <x v="1"/>
  </r>
  <r>
    <x v="17"/>
    <x v="0"/>
    <x v="0"/>
    <x v="1"/>
    <x v="0"/>
    <x v="0"/>
    <x v="1"/>
    <x v="0"/>
    <x v="0"/>
    <x v="0"/>
    <x v="0"/>
    <x v="15"/>
    <x v="0"/>
    <x v="0"/>
    <x v="0"/>
    <x v="0"/>
  </r>
  <r>
    <x v="18"/>
    <x v="1"/>
    <x v="1"/>
    <x v="0"/>
    <x v="4"/>
    <x v="1"/>
    <x v="1"/>
    <x v="0"/>
    <x v="1"/>
    <x v="3"/>
    <x v="0"/>
    <x v="11"/>
    <x v="2"/>
    <x v="1"/>
    <x v="0"/>
    <x v="0"/>
  </r>
  <r>
    <x v="19"/>
    <x v="1"/>
    <x v="1"/>
    <x v="6"/>
    <x v="4"/>
    <x v="3"/>
    <x v="1"/>
    <x v="0"/>
    <x v="2"/>
    <x v="2"/>
    <x v="1"/>
    <x v="10"/>
    <x v="0"/>
    <x v="1"/>
    <x v="0"/>
    <x v="0"/>
  </r>
  <r>
    <x v="20"/>
    <x v="0"/>
    <x v="0"/>
    <x v="0"/>
    <x v="3"/>
    <x v="4"/>
    <x v="1"/>
    <x v="0"/>
    <x v="0"/>
    <x v="0"/>
    <x v="0"/>
    <x v="4"/>
    <x v="0"/>
    <x v="1"/>
    <x v="0"/>
    <x v="0"/>
  </r>
  <r>
    <x v="21"/>
    <x v="1"/>
    <x v="0"/>
    <x v="2"/>
    <x v="3"/>
    <x v="0"/>
    <x v="2"/>
    <x v="0"/>
    <x v="3"/>
    <x v="4"/>
    <x v="1"/>
    <x v="11"/>
    <x v="2"/>
    <x v="0"/>
    <x v="1"/>
    <x v="0"/>
  </r>
  <r>
    <x v="22"/>
    <x v="1"/>
    <x v="1"/>
    <x v="0"/>
    <x v="4"/>
    <x v="1"/>
    <x v="1"/>
    <x v="0"/>
    <x v="0"/>
    <x v="3"/>
    <x v="0"/>
    <x v="11"/>
    <x v="2"/>
    <x v="1"/>
    <x v="0"/>
    <x v="0"/>
  </r>
  <r>
    <x v="23"/>
    <x v="0"/>
    <x v="0"/>
    <x v="2"/>
    <x v="2"/>
    <x v="2"/>
    <x v="4"/>
    <x v="1"/>
    <x v="4"/>
    <x v="2"/>
    <x v="0"/>
    <x v="16"/>
    <x v="1"/>
    <x v="0"/>
    <x v="1"/>
    <x v="1"/>
  </r>
  <r>
    <x v="24"/>
    <x v="1"/>
    <x v="1"/>
    <x v="0"/>
    <x v="4"/>
    <x v="1"/>
    <x v="1"/>
    <x v="1"/>
    <x v="1"/>
    <x v="0"/>
    <x v="0"/>
    <x v="17"/>
    <x v="2"/>
    <x v="0"/>
    <x v="0"/>
    <x v="0"/>
  </r>
  <r>
    <x v="25"/>
    <x v="1"/>
    <x v="1"/>
    <x v="1"/>
    <x v="0"/>
    <x v="0"/>
    <x v="1"/>
    <x v="0"/>
    <x v="0"/>
    <x v="0"/>
    <x v="0"/>
    <x v="18"/>
    <x v="1"/>
    <x v="0"/>
    <x v="0"/>
    <x v="0"/>
  </r>
  <r>
    <x v="26"/>
    <x v="1"/>
    <x v="1"/>
    <x v="1"/>
    <x v="3"/>
    <x v="1"/>
    <x v="1"/>
    <x v="1"/>
    <x v="1"/>
    <x v="0"/>
    <x v="0"/>
    <x v="19"/>
    <x v="2"/>
    <x v="1"/>
    <x v="0"/>
    <x v="0"/>
  </r>
  <r>
    <x v="27"/>
    <x v="1"/>
    <x v="0"/>
    <x v="11"/>
    <x v="3"/>
    <x v="0"/>
    <x v="2"/>
    <x v="1"/>
    <x v="1"/>
    <x v="2"/>
    <x v="1"/>
    <x v="8"/>
    <x v="0"/>
    <x v="0"/>
    <x v="1"/>
    <x v="0"/>
  </r>
  <r>
    <x v="28"/>
    <x v="0"/>
    <x v="1"/>
    <x v="3"/>
    <x v="2"/>
    <x v="1"/>
    <x v="0"/>
    <x v="0"/>
    <x v="2"/>
    <x v="2"/>
    <x v="1"/>
    <x v="20"/>
    <x v="0"/>
    <x v="0"/>
    <x v="1"/>
    <x v="1"/>
  </r>
  <r>
    <x v="29"/>
    <x v="1"/>
    <x v="0"/>
    <x v="6"/>
    <x v="3"/>
    <x v="3"/>
    <x v="3"/>
    <x v="1"/>
    <x v="2"/>
    <x v="0"/>
    <x v="0"/>
    <x v="21"/>
    <x v="2"/>
    <x v="1"/>
    <x v="0"/>
    <x v="0"/>
  </r>
  <r>
    <x v="30"/>
    <x v="0"/>
    <x v="0"/>
    <x v="6"/>
    <x v="4"/>
    <x v="1"/>
    <x v="3"/>
    <x v="0"/>
    <x v="0"/>
    <x v="0"/>
    <x v="0"/>
    <x v="18"/>
    <x v="1"/>
    <x v="0"/>
    <x v="0"/>
    <x v="0"/>
  </r>
  <r>
    <x v="31"/>
    <x v="0"/>
    <x v="1"/>
    <x v="4"/>
    <x v="3"/>
    <x v="1"/>
    <x v="3"/>
    <x v="1"/>
    <x v="1"/>
    <x v="0"/>
    <x v="1"/>
    <x v="22"/>
    <x v="2"/>
    <x v="1"/>
    <x v="0"/>
    <x v="0"/>
  </r>
  <r>
    <x v="32"/>
    <x v="1"/>
    <x v="0"/>
    <x v="6"/>
    <x v="3"/>
    <x v="2"/>
    <x v="3"/>
    <x v="1"/>
    <x v="1"/>
    <x v="2"/>
    <x v="0"/>
    <x v="23"/>
    <x v="2"/>
    <x v="0"/>
    <x v="0"/>
    <x v="0"/>
  </r>
  <r>
    <x v="33"/>
    <x v="1"/>
    <x v="1"/>
    <x v="2"/>
    <x v="4"/>
    <x v="2"/>
    <x v="0"/>
    <x v="1"/>
    <x v="2"/>
    <x v="3"/>
    <x v="1"/>
    <x v="5"/>
    <x v="0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3:B27" firstHeaderRow="1" firstDataRow="1" firstDataCol="1"/>
  <pivotFields count="16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24:E28" firstHeaderRow="1" firstDataRow="1" firstDataCol="1"/>
  <pivotFields count="16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multipleItemSelectionAllowed="1" showAll="0">
      <items count="3">
        <item h="1" x="0"/>
        <item x="1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axis="axisRow" compact="0" sortType="ascending" showAll="0">
      <items count="4">
        <item x="0"/>
        <item x="2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multipleItemSelectionAllowed="1" showAll="0">
      <items count="4">
        <item h="1" x="0"/>
        <item x="1"/>
        <item h="1" x="2"/>
        <item t="default"/>
      </items>
    </pivotField>
    <pivotField dataField="1" compact="0" showAll="0">
      <items count="3">
        <item x="1"/>
        <item x="0"/>
        <item t="default"/>
      </items>
    </pivotField>
    <pivotField compact="0" multipleItemSelectionAllowed="1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G6:I16" firstHeaderRow="1" firstDataRow="1" firstDataCol="2" rowPageCount="1" colPageCount="1"/>
  <pivotFields count="16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axis="axisPage" compact="0" multipleItemSelectionAllowed="1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multipleItemSelectionAllowed="1" showAll="0">
      <items count="4">
        <item x="2"/>
        <item x="0"/>
        <item x="1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12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pageFields count="1">
    <pageField fld="1"/>
  </pageFields>
  <dataFields count="1">
    <dataField name="Count of Purchased Bike" fld="13" subtotal="count" baseField="0" baseItem="0"/>
  </dataFields>
  <formats count="1">
    <format dxfId="0">
      <pivotArea field="8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3:E19" firstHeaderRow="1" firstDataRow="1" firstDataCol="1"/>
  <pivotFields count="16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multipleItemSelectionAllowed="1" showAll="0">
      <items count="3">
        <item h="1"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multipleItemSelectionAllowed="1" showAll="0">
      <items count="4">
        <item x="0"/>
        <item x="1"/>
        <item x="2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8" firstHeaderRow="1" firstDataRow="2" firstDataCol="1"/>
  <pivotFields count="16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/>
    <pivotField compact="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1"/>
        <item x="0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Col" compact="0" multipleItemSelectionAllowed="1" showAll="0">
      <items count="3"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8">
    <format dxfId="1">
      <pivotArea dataOnly="0" labelOnly="1" fieldPosition="0">
        <references count="1">
          <reference field="15" count="1">
            <x v="0"/>
          </reference>
        </references>
      </pivotArea>
    </format>
    <format dxfId="2">
      <pivotArea collapsedLevelsAreSubtotals="1" fieldPosition="0">
        <references count="1">
          <reference field="15" count="1" selected="0">
            <x v="0"/>
          </reference>
        </references>
      </pivotArea>
    </format>
    <format dxfId="3">
      <pivotArea dataOnly="0" labelOnly="1" fieldPosition="0">
        <references count="1">
          <reference field="15" count="1">
            <x v="1"/>
          </reference>
        </references>
      </pivotArea>
    </format>
    <format dxfId="4">
      <pivotArea collapsedLevelsAreSubtotals="1" fieldPosition="0">
        <references count="1">
          <reference field="15" count="1" selected="0">
            <x v="1"/>
          </reference>
        </references>
      </pivotArea>
    </format>
    <format dxfId="5">
      <pivotArea dataOnly="0" labelOnly="1" grandCol="1" fieldPosition="0"/>
    </format>
    <format dxfId="6">
      <pivotArea grandCol="1" collapsedLevelsAreSubtotals="1" fieldPosition="0"/>
    </format>
    <format dxfId="7">
      <pivotArea dataOnly="0" labelOnly="1" fieldPosition="0">
        <references count="1">
          <reference field="15" count="1">
            <x v="0"/>
          </reference>
        </references>
      </pivotArea>
    </format>
    <format dxfId="8">
      <pivotArea collapsedLevelsAreSubtotals="1" fieldPosition="0">
        <references count="1">
          <reference field="15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3:B19" firstHeaderRow="1" firstDataRow="1" firstDataCol="1"/>
  <pivotFields count="16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axis="axisRow" compact="0" sortType="ascending" showAll="0">
      <items count="6">
        <item x="1"/>
        <item x="4"/>
        <item x="3"/>
        <item x="2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multipleItemSelectionAllowed="1" showAll="0">
      <items count="6">
        <item x="0"/>
        <item x="4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multipleItemSelectionAllowed="1" showAll="0">
      <items count="4">
        <item h="1" x="0"/>
        <item x="1"/>
        <item h="1" x="2"/>
        <item t="default"/>
      </items>
    </pivotField>
    <pivotField dataField="1" compact="0" showAll="0">
      <items count="3">
        <item x="1"/>
        <item x="0"/>
        <item t="default"/>
      </items>
    </pivotField>
    <pivotField compact="0" multipleItemSelectionAllowed="1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6"/>
  </rowFields>
  <rowItems count="6">
    <i>
      <x v="2"/>
    </i>
    <i>
      <x v="1"/>
    </i>
    <i>
      <x/>
    </i>
    <i>
      <x v="4"/>
    </i>
    <i>
      <x v="3"/>
    </i>
    <i t="grand">
      <x/>
    </i>
  </rowItems>
  <colItems count="1">
    <i/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GROUP" sourceName="AGE GROUP">
  <pivotTables>
    <pivotTable tabId="2" name="PivotTable3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2" name="PivotTable16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2" name="PivotTable15"/>
    <pivotTable tabId="2" name="PivotTable11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NCOME_SLAB" sourceName="INCOME SLAB">
  <pivotTables>
    <pivotTable tabId="2" name="PivotTable14"/>
    <pivotTable tabId="2" name="PivotTable16"/>
  </pivotTables>
  <data>
    <tabular pivotCacheId="1">
      <items count="3">
        <i x="2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NCOME SLAB" cache="Slicer_INCOME_SLAB" caption="INCOME SLAB" rowHeight="225425"/>
  <slicer name="Marital Status" cache="Slicer_Marital_Status" caption="Marital Status" rowHeight="225425"/>
  <slicer name="Gender" cache="Slicer_Gender" caption="Gender" rowHeight="225425"/>
  <slicer name="AGE GROUP" cache="Slicer_AGE_GROUP" caption="AGE GROUP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7"/>
  <sheetViews>
    <sheetView workbookViewId="0">
      <selection activeCell="C15" sqref="C15"/>
    </sheetView>
  </sheetViews>
  <sheetFormatPr defaultColWidth="11.8888888888889" defaultRowHeight="14.4"/>
  <cols>
    <col min="1" max="1" width="11.8888888888889" style="2"/>
    <col min="2" max="2" width="18" style="2" customWidth="1"/>
    <col min="3" max="3" width="11.8888888888889" style="2"/>
    <col min="4" max="4" width="12.4444444444444" style="2"/>
    <col min="5" max="5" width="11.8888888888889" style="2"/>
    <col min="6" max="6" width="17.6666666666667" style="2" customWidth="1"/>
    <col min="7" max="7" width="14.7777777777778" style="2" customWidth="1"/>
    <col min="8" max="8" width="16.5555555555556" style="2" customWidth="1"/>
    <col min="9" max="9" width="11.8888888888889" style="2"/>
    <col min="10" max="10" width="24" style="4" customWidth="1"/>
    <col min="11" max="12" width="11.8888888888889" style="2"/>
    <col min="13" max="13" width="16" customWidth="1"/>
    <col min="14" max="14" width="19.8888888888889" style="2" customWidth="1"/>
    <col min="15" max="15" width="18.1111111111111" customWidth="1"/>
    <col min="16" max="16" width="15.4444444444444" customWidth="1"/>
    <col min="17" max="17" width="19.6666666666667" customWidth="1"/>
  </cols>
  <sheetData>
    <row r="1" s="3" customFormat="1" ht="17.4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5" t="s">
        <v>11</v>
      </c>
      <c r="M1" s="3" t="s">
        <v>12</v>
      </c>
      <c r="N1" s="5" t="s">
        <v>13</v>
      </c>
      <c r="O1" s="3" t="s">
        <v>14</v>
      </c>
      <c r="P1" s="3" t="s">
        <v>15</v>
      </c>
    </row>
    <row r="2" spans="1:16">
      <c r="A2" s="2">
        <v>12496</v>
      </c>
      <c r="B2" s="2" t="s">
        <v>16</v>
      </c>
      <c r="C2" s="2" t="s">
        <v>17</v>
      </c>
      <c r="D2" s="6">
        <v>40000</v>
      </c>
      <c r="E2" s="2">
        <v>1</v>
      </c>
      <c r="F2" s="2" t="s">
        <v>18</v>
      </c>
      <c r="G2" s="2" t="s">
        <v>19</v>
      </c>
      <c r="H2" s="2" t="s">
        <v>20</v>
      </c>
      <c r="I2" s="2">
        <v>0</v>
      </c>
      <c r="J2" s="4" t="s">
        <v>21</v>
      </c>
      <c r="K2" s="2" t="s">
        <v>22</v>
      </c>
      <c r="L2" s="2">
        <v>42</v>
      </c>
      <c r="M2" t="str" cm="1">
        <f t="array" ref="M2">_xlfn.IFS(L2&lt;=35,"YOUNG_ADULTS",L2&lt;=55,"MIDDLE_AGED",L2&gt;55,"OLD-AGED")</f>
        <v>MIDDLE_AGED</v>
      </c>
      <c r="O2" t="str" cm="1">
        <f t="array" ref="O2">_xlfn.IFS(D2&lt;=50000,"low income",D2&lt;=100000,"Mid income",D2&gt;100000,"High income")</f>
        <v>low income</v>
      </c>
      <c r="P2" t="str" cm="1">
        <f t="array" ref="P2">_xlfn.IFS(E2&lt;=2,"&lt;=2",E2&gt;2,"&gt;2")</f>
        <v>&lt;=2</v>
      </c>
    </row>
    <row r="3" spans="1:16">
      <c r="A3" s="2">
        <v>24107</v>
      </c>
      <c r="B3" s="2" t="s">
        <v>16</v>
      </c>
      <c r="C3" s="2" t="s">
        <v>16</v>
      </c>
      <c r="D3" s="6">
        <v>30000</v>
      </c>
      <c r="E3" s="2">
        <v>3</v>
      </c>
      <c r="F3" s="2" t="s">
        <v>23</v>
      </c>
      <c r="G3" s="2" t="s">
        <v>24</v>
      </c>
      <c r="H3" s="2" t="s">
        <v>20</v>
      </c>
      <c r="I3" s="2">
        <v>1</v>
      </c>
      <c r="J3" s="4" t="s">
        <v>21</v>
      </c>
      <c r="K3" s="2" t="s">
        <v>22</v>
      </c>
      <c r="L3" s="2">
        <v>43</v>
      </c>
      <c r="M3" t="str" cm="1">
        <f t="array" ref="M3">_xlfn.IFS(L3&lt;=35,"YOUNG_ADULTS",L3&lt;=55,"MIDDLE_AGED",L3&gt;55,"OLD-AGED")</f>
        <v>MIDDLE_AGED</v>
      </c>
      <c r="O3" t="str" cm="1">
        <f t="array" ref="O3">_xlfn.IFS(D3&lt;=50000,"low income",D3&lt;=100000,"Mid income",D3&gt;100000,"High income")</f>
        <v>low income</v>
      </c>
      <c r="P3" t="str" cm="1">
        <f t="array" ref="P3">_xlfn.IFS(E3&lt;=2,"&lt;=2",E3&gt;2,"&gt;2")</f>
        <v>&gt;2</v>
      </c>
    </row>
    <row r="4" spans="1:16">
      <c r="A4" s="2">
        <v>14177</v>
      </c>
      <c r="B4" s="2" t="s">
        <v>16</v>
      </c>
      <c r="C4" s="2" t="s">
        <v>16</v>
      </c>
      <c r="D4" s="6">
        <v>80000</v>
      </c>
      <c r="E4" s="2">
        <v>5</v>
      </c>
      <c r="F4" s="2" t="s">
        <v>23</v>
      </c>
      <c r="G4" s="2" t="s">
        <v>25</v>
      </c>
      <c r="H4" s="2" t="s">
        <v>26</v>
      </c>
      <c r="I4" s="2">
        <v>2</v>
      </c>
      <c r="J4" s="4" t="s">
        <v>27</v>
      </c>
      <c r="K4" s="2" t="s">
        <v>22</v>
      </c>
      <c r="L4" s="2">
        <v>60</v>
      </c>
      <c r="M4" t="str" cm="1">
        <f t="array" ref="M4">_xlfn.IFS(L4&lt;=35,"YOUNG_ADULTS",L4&lt;=55,"MIDDLE_AGED",L4&gt;55,"OLD-AGED")</f>
        <v>OLD-AGED</v>
      </c>
      <c r="O4" t="str" cm="1">
        <f t="array" ref="O4">_xlfn.IFS(D4&lt;=50000,"low income",D4&lt;=100000,"Mid income",D4&gt;100000,"High income")</f>
        <v>Mid income</v>
      </c>
      <c r="P4" t="str" cm="1">
        <f t="array" ref="P4">_xlfn.IFS(E4&lt;=2,"&lt;=2",E4&gt;2,"&gt;2")</f>
        <v>&gt;2</v>
      </c>
    </row>
    <row r="5" spans="1:16">
      <c r="A5" s="2">
        <v>24381</v>
      </c>
      <c r="B5" s="2" t="s">
        <v>28</v>
      </c>
      <c r="C5" s="2" t="s">
        <v>16</v>
      </c>
      <c r="D5" s="6">
        <v>70000</v>
      </c>
      <c r="E5" s="2">
        <v>0</v>
      </c>
      <c r="F5" s="2" t="s">
        <v>18</v>
      </c>
      <c r="G5" s="2" t="s">
        <v>25</v>
      </c>
      <c r="H5" s="2" t="s">
        <v>20</v>
      </c>
      <c r="I5" s="2">
        <v>1</v>
      </c>
      <c r="J5" s="4" t="s">
        <v>29</v>
      </c>
      <c r="K5" s="2" t="s">
        <v>30</v>
      </c>
      <c r="L5" s="2">
        <v>41</v>
      </c>
      <c r="M5" t="str" cm="1">
        <f t="array" ref="M5">_xlfn.IFS(L5&lt;=35,"YOUNG_ADULTS",L5&lt;=55,"MIDDLE_AGED",L5&gt;55,"OLD-AGED")</f>
        <v>MIDDLE_AGED</v>
      </c>
      <c r="N5" s="2" t="s">
        <v>20</v>
      </c>
      <c r="O5" t="str" cm="1">
        <f t="array" ref="O5">_xlfn.IFS(D5&lt;=50000,"low income",D5&lt;=100000,"Mid income",D5&gt;100000,"High income")</f>
        <v>Mid income</v>
      </c>
      <c r="P5" t="str" cm="1">
        <f t="array" ref="P5">_xlfn.IFS(E5&lt;=2,"&lt;=2",E5&gt;2,"&gt;2")</f>
        <v>&lt;=2</v>
      </c>
    </row>
    <row r="6" spans="1:16">
      <c r="A6" s="2">
        <v>25597</v>
      </c>
      <c r="B6" s="2" t="s">
        <v>28</v>
      </c>
      <c r="C6" s="2" t="s">
        <v>16</v>
      </c>
      <c r="D6" s="6">
        <v>30000</v>
      </c>
      <c r="E6" s="2">
        <v>0</v>
      </c>
      <c r="F6" s="2" t="s">
        <v>18</v>
      </c>
      <c r="G6" s="2" t="s">
        <v>24</v>
      </c>
      <c r="H6" s="2" t="s">
        <v>26</v>
      </c>
      <c r="I6" s="2">
        <v>0</v>
      </c>
      <c r="J6" s="4" t="s">
        <v>21</v>
      </c>
      <c r="K6" s="2" t="s">
        <v>22</v>
      </c>
      <c r="L6" s="2">
        <v>36</v>
      </c>
      <c r="M6" t="str" cm="1">
        <f t="array" ref="M6">_xlfn.IFS(L6&lt;=35,"YOUNG_ADULTS",L6&lt;=55,"MIDDLE_AGED",L6&gt;55,"OLD-AGED")</f>
        <v>MIDDLE_AGED</v>
      </c>
      <c r="N6" s="2" t="s">
        <v>20</v>
      </c>
      <c r="O6" t="str" cm="1">
        <f t="array" ref="O6">_xlfn.IFS(D6&lt;=50000,"low income",D6&lt;=100000,"Mid income",D6&gt;100000,"High income")</f>
        <v>low income</v>
      </c>
      <c r="P6" t="str" cm="1">
        <f t="array" ref="P6">_xlfn.IFS(E6&lt;=2,"&lt;=2",E6&gt;2,"&gt;2")</f>
        <v>&lt;=2</v>
      </c>
    </row>
    <row r="7" spans="1:16">
      <c r="A7" s="2">
        <v>13507</v>
      </c>
      <c r="B7" s="2" t="s">
        <v>16</v>
      </c>
      <c r="C7" s="2" t="s">
        <v>17</v>
      </c>
      <c r="D7" s="6">
        <v>10000</v>
      </c>
      <c r="E7" s="2">
        <v>2</v>
      </c>
      <c r="F7" s="2" t="s">
        <v>23</v>
      </c>
      <c r="G7" s="2" t="s">
        <v>31</v>
      </c>
      <c r="H7" s="2" t="s">
        <v>20</v>
      </c>
      <c r="I7" s="2">
        <v>0</v>
      </c>
      <c r="J7" s="4" t="s">
        <v>32</v>
      </c>
      <c r="K7" s="2" t="s">
        <v>22</v>
      </c>
      <c r="L7" s="2">
        <v>50</v>
      </c>
      <c r="M7" t="str" cm="1">
        <f t="array" ref="M7">_xlfn.IFS(L7&lt;=35,"YOUNG_ADULTS",L7&lt;=55,"MIDDLE_AGED",L7&gt;55,"OLD-AGED")</f>
        <v>MIDDLE_AGED</v>
      </c>
      <c r="O7" t="str" cm="1">
        <f t="array" ref="O7">_xlfn.IFS(D7&lt;=50000,"low income",D7&lt;=100000,"Mid income",D7&gt;100000,"High income")</f>
        <v>low income</v>
      </c>
      <c r="P7" t="str" cm="1">
        <f t="array" ref="P7">_xlfn.IFS(E7&lt;=2,"&lt;=2",E7&gt;2,"&gt;2")</f>
        <v>&lt;=2</v>
      </c>
    </row>
    <row r="8" spans="1:16">
      <c r="A8" s="2">
        <v>27974</v>
      </c>
      <c r="B8" s="2" t="s">
        <v>28</v>
      </c>
      <c r="C8" s="2" t="s">
        <v>16</v>
      </c>
      <c r="D8" s="6">
        <v>160000</v>
      </c>
      <c r="E8" s="2">
        <v>2</v>
      </c>
      <c r="F8" s="2" t="s">
        <v>33</v>
      </c>
      <c r="G8" s="2" t="s">
        <v>34</v>
      </c>
      <c r="H8" s="2" t="s">
        <v>20</v>
      </c>
      <c r="I8" s="2">
        <v>4</v>
      </c>
      <c r="J8" s="4" t="s">
        <v>21</v>
      </c>
      <c r="K8" s="2" t="s">
        <v>30</v>
      </c>
      <c r="L8" s="2">
        <v>33</v>
      </c>
      <c r="M8" t="str" cm="1">
        <f t="array" ref="M8">_xlfn.IFS(L8&lt;=35,"YOUNG_ADULTS",L8&lt;=55,"MIDDLE_AGED",L8&gt;55,"OLD-AGED")</f>
        <v>YOUNG_ADULTS</v>
      </c>
      <c r="N8" s="2" t="s">
        <v>20</v>
      </c>
      <c r="O8" t="str" cm="1">
        <f t="array" ref="O8">_xlfn.IFS(D8&lt;=50000,"low income",D8&lt;=100000,"Mid income",D8&gt;100000,"High income")</f>
        <v>High income</v>
      </c>
      <c r="P8" t="str" cm="1">
        <f t="array" ref="P8">_xlfn.IFS(E8&lt;=2,"&lt;=2",E8&gt;2,"&gt;2")</f>
        <v>&lt;=2</v>
      </c>
    </row>
    <row r="9" spans="1:16">
      <c r="A9" s="2">
        <v>19364</v>
      </c>
      <c r="B9" s="2" t="s">
        <v>16</v>
      </c>
      <c r="C9" s="2" t="s">
        <v>16</v>
      </c>
      <c r="D9" s="6">
        <v>40000</v>
      </c>
      <c r="E9" s="2">
        <v>1</v>
      </c>
      <c r="F9" s="2" t="s">
        <v>18</v>
      </c>
      <c r="G9" s="2" t="s">
        <v>19</v>
      </c>
      <c r="H9" s="2" t="s">
        <v>20</v>
      </c>
      <c r="I9" s="2">
        <v>0</v>
      </c>
      <c r="J9" s="4" t="s">
        <v>21</v>
      </c>
      <c r="K9" s="2" t="s">
        <v>22</v>
      </c>
      <c r="L9" s="2">
        <v>43</v>
      </c>
      <c r="M9" t="str" cm="1">
        <f t="array" ref="M9">_xlfn.IFS(L9&lt;=35,"YOUNG_ADULTS",L9&lt;=55,"MIDDLE_AGED",L9&gt;55,"OLD-AGED")</f>
        <v>MIDDLE_AGED</v>
      </c>
      <c r="N9" s="2" t="s">
        <v>20</v>
      </c>
      <c r="O9" t="str" cm="1">
        <f t="array" ref="O9">_xlfn.IFS(D9&lt;=50000,"low income",D9&lt;=100000,"Mid income",D9&gt;100000,"High income")</f>
        <v>low income</v>
      </c>
      <c r="P9" t="str" cm="1">
        <f t="array" ref="P9">_xlfn.IFS(E9&lt;=2,"&lt;=2",E9&gt;2,"&gt;2")</f>
        <v>&lt;=2</v>
      </c>
    </row>
    <row r="10" spans="1:16">
      <c r="A10" s="2">
        <v>22155</v>
      </c>
      <c r="B10" s="2" t="s">
        <v>16</v>
      </c>
      <c r="C10" s="2" t="s">
        <v>16</v>
      </c>
      <c r="D10" s="6">
        <v>20000</v>
      </c>
      <c r="E10" s="2">
        <v>2</v>
      </c>
      <c r="F10" s="2" t="s">
        <v>35</v>
      </c>
      <c r="G10" s="2" t="s">
        <v>24</v>
      </c>
      <c r="H10" s="2" t="s">
        <v>20</v>
      </c>
      <c r="I10" s="2">
        <v>2</v>
      </c>
      <c r="J10" s="4" t="s">
        <v>29</v>
      </c>
      <c r="K10" s="2" t="s">
        <v>30</v>
      </c>
      <c r="L10" s="2">
        <v>58</v>
      </c>
      <c r="M10" t="str" cm="1">
        <f t="array" ref="M10">_xlfn.IFS(L10&lt;=35,"YOUNG_ADULTS",L10&lt;=55,"MIDDLE_AGED",L10&gt;55,"OLD-AGED")</f>
        <v>OLD-AGED</v>
      </c>
      <c r="O10" t="str" cm="1">
        <f t="array" ref="O10">_xlfn.IFS(D10&lt;=50000,"low income",D10&lt;=100000,"Mid income",D10&gt;100000,"High income")</f>
        <v>low income</v>
      </c>
      <c r="P10" t="str" cm="1">
        <f t="array" ref="P10">_xlfn.IFS(E10&lt;=2,"&lt;=2",E10&gt;2,"&gt;2")</f>
        <v>&lt;=2</v>
      </c>
    </row>
    <row r="11" spans="1:16">
      <c r="A11" s="2">
        <v>19280</v>
      </c>
      <c r="B11" s="2" t="s">
        <v>16</v>
      </c>
      <c r="C11" s="2" t="s">
        <v>16</v>
      </c>
      <c r="D11" s="6">
        <v>120000</v>
      </c>
      <c r="E11" s="2">
        <v>2</v>
      </c>
      <c r="F11" s="2" t="s">
        <v>23</v>
      </c>
      <c r="G11" s="2" t="s">
        <v>31</v>
      </c>
      <c r="H11" s="2" t="s">
        <v>20</v>
      </c>
      <c r="I11" s="2">
        <v>1</v>
      </c>
      <c r="J11" s="4" t="s">
        <v>21</v>
      </c>
      <c r="K11" s="2" t="s">
        <v>22</v>
      </c>
      <c r="L11" s="2">
        <v>40</v>
      </c>
      <c r="M11" t="str" cm="1">
        <f t="array" ref="M11">_xlfn.IFS(L11&lt;=35,"YOUNG_ADULTS",L11&lt;=55,"MIDDLE_AGED",L11&gt;55,"OLD-AGED")</f>
        <v>MIDDLE_AGED</v>
      </c>
      <c r="N11" s="2" t="s">
        <v>20</v>
      </c>
      <c r="O11" t="str" cm="1">
        <f t="array" ref="O11">_xlfn.IFS(D11&lt;=50000,"low income",D11&lt;=100000,"Mid income",D11&gt;100000,"High income")</f>
        <v>High income</v>
      </c>
      <c r="P11" t="str" cm="1">
        <f t="array" ref="P11">_xlfn.IFS(E11&lt;=2,"&lt;=2",E11&gt;2,"&gt;2")</f>
        <v>&lt;=2</v>
      </c>
    </row>
    <row r="12" spans="1:16">
      <c r="A12" s="2">
        <v>22173</v>
      </c>
      <c r="B12" s="2" t="s">
        <v>16</v>
      </c>
      <c r="C12" s="2" t="s">
        <v>17</v>
      </c>
      <c r="D12" s="6">
        <v>30000</v>
      </c>
      <c r="E12" s="2">
        <v>3</v>
      </c>
      <c r="F12" s="2" t="s">
        <v>33</v>
      </c>
      <c r="G12" s="2" t="s">
        <v>19</v>
      </c>
      <c r="H12" s="2" t="s">
        <v>26</v>
      </c>
      <c r="I12" s="2">
        <v>2</v>
      </c>
      <c r="J12" s="4" t="s">
        <v>32</v>
      </c>
      <c r="K12" s="2" t="s">
        <v>30</v>
      </c>
      <c r="L12" s="2">
        <v>54</v>
      </c>
      <c r="M12" t="str" cm="1">
        <f t="array" ref="M12">_xlfn.IFS(L12&lt;=35,"YOUNG_ADULTS",L12&lt;=55,"MIDDLE_AGED",L12&gt;55,"OLD-AGED")</f>
        <v>MIDDLE_AGED</v>
      </c>
      <c r="N12" s="2" t="s">
        <v>20</v>
      </c>
      <c r="O12" t="str" cm="1">
        <f t="array" ref="O12">_xlfn.IFS(D12&lt;=50000,"low income",D12&lt;=100000,"Mid income",D12&gt;100000,"High income")</f>
        <v>low income</v>
      </c>
      <c r="P12" t="str" cm="1">
        <f t="array" ref="P12">_xlfn.IFS(E12&lt;=2,"&lt;=2",E12&gt;2,"&gt;2")</f>
        <v>&gt;2</v>
      </c>
    </row>
    <row r="13" spans="1:16">
      <c r="A13" s="2">
        <v>12697</v>
      </c>
      <c r="B13" s="2" t="s">
        <v>28</v>
      </c>
      <c r="C13" s="2" t="s">
        <v>17</v>
      </c>
      <c r="D13" s="6">
        <v>90000</v>
      </c>
      <c r="E13" s="2">
        <v>0</v>
      </c>
      <c r="F13" s="2" t="s">
        <v>18</v>
      </c>
      <c r="G13" s="2" t="s">
        <v>25</v>
      </c>
      <c r="H13" s="2" t="s">
        <v>26</v>
      </c>
      <c r="I13" s="2">
        <v>4</v>
      </c>
      <c r="J13" s="4" t="s">
        <v>36</v>
      </c>
      <c r="K13" s="2" t="s">
        <v>30</v>
      </c>
      <c r="L13" s="2">
        <v>36</v>
      </c>
      <c r="M13" t="str" cm="1">
        <f t="array" ref="M13">_xlfn.IFS(L13&lt;=35,"YOUNG_ADULTS",L13&lt;=55,"MIDDLE_AGED",L13&gt;55,"OLD-AGED")</f>
        <v>MIDDLE_AGED</v>
      </c>
      <c r="O13" t="str" cm="1">
        <f t="array" ref="O13">_xlfn.IFS(D13&lt;=50000,"low income",D13&lt;=100000,"Mid income",D13&gt;100000,"High income")</f>
        <v>Mid income</v>
      </c>
      <c r="P13" t="str" cm="1">
        <f t="array" ref="P13">_xlfn.IFS(E13&lt;=2,"&lt;=2",E13&gt;2,"&gt;2")</f>
        <v>&lt;=2</v>
      </c>
    </row>
    <row r="14" spans="1:16">
      <c r="A14" s="2">
        <v>11434</v>
      </c>
      <c r="B14" s="2" t="s">
        <v>16</v>
      </c>
      <c r="C14" s="2" t="s">
        <v>16</v>
      </c>
      <c r="D14" s="6">
        <v>170000</v>
      </c>
      <c r="E14" s="2">
        <v>5</v>
      </c>
      <c r="F14" s="2" t="s">
        <v>23</v>
      </c>
      <c r="G14" s="2" t="s">
        <v>25</v>
      </c>
      <c r="H14" s="2" t="s">
        <v>20</v>
      </c>
      <c r="I14" s="2">
        <v>0</v>
      </c>
      <c r="J14" s="4" t="s">
        <v>21</v>
      </c>
      <c r="K14" s="2" t="s">
        <v>22</v>
      </c>
      <c r="L14" s="2">
        <v>55</v>
      </c>
      <c r="M14" t="str" cm="1">
        <f t="array" ref="M14">_xlfn.IFS(L14&lt;=35,"YOUNG_ADULTS",L14&lt;=55,"MIDDLE_AGED",L14&gt;55,"OLD-AGED")</f>
        <v>MIDDLE_AGED</v>
      </c>
      <c r="O14" t="str" cm="1">
        <f t="array" ref="O14">_xlfn.IFS(D14&lt;=50000,"low income",D14&lt;=100000,"Mid income",D14&gt;100000,"High income")</f>
        <v>High income</v>
      </c>
      <c r="P14" t="str" cm="1">
        <f t="array" ref="P14">_xlfn.IFS(E14&lt;=2,"&lt;=2",E14&gt;2,"&gt;2")</f>
        <v>&gt;2</v>
      </c>
    </row>
    <row r="15" spans="1:16">
      <c r="A15" s="2">
        <v>25323</v>
      </c>
      <c r="B15" s="2" t="s">
        <v>16</v>
      </c>
      <c r="C15" s="2" t="s">
        <v>16</v>
      </c>
      <c r="D15" s="6">
        <v>40000</v>
      </c>
      <c r="E15" s="2">
        <v>2</v>
      </c>
      <c r="F15" s="2" t="s">
        <v>23</v>
      </c>
      <c r="G15" s="2" t="s">
        <v>24</v>
      </c>
      <c r="H15" s="2" t="s">
        <v>20</v>
      </c>
      <c r="I15" s="2">
        <v>1</v>
      </c>
      <c r="J15" s="4" t="s">
        <v>32</v>
      </c>
      <c r="K15" s="2" t="s">
        <v>22</v>
      </c>
      <c r="L15" s="2">
        <v>35</v>
      </c>
      <c r="M15" t="str" cm="1">
        <f t="array" ref="M15">_xlfn.IFS(L15&lt;=35,"YOUNG_ADULTS",L15&lt;=55,"MIDDLE_AGED",L15&gt;55,"OLD-AGED")</f>
        <v>YOUNG_ADULTS</v>
      </c>
      <c r="N15" s="2" t="s">
        <v>20</v>
      </c>
      <c r="O15" t="str" cm="1">
        <f t="array" ref="O15">_xlfn.IFS(D15&lt;=50000,"low income",D15&lt;=100000,"Mid income",D15&gt;100000,"High income")</f>
        <v>low income</v>
      </c>
      <c r="P15" t="str" cm="1">
        <f t="array" ref="P15">_xlfn.IFS(E15&lt;=2,"&lt;=2",E15&gt;2,"&gt;2")</f>
        <v>&lt;=2</v>
      </c>
    </row>
    <row r="16" spans="1:16">
      <c r="A16" s="2">
        <v>23542</v>
      </c>
      <c r="B16" s="2" t="s">
        <v>28</v>
      </c>
      <c r="C16" s="2" t="s">
        <v>16</v>
      </c>
      <c r="D16" s="6">
        <v>60000</v>
      </c>
      <c r="E16" s="2">
        <v>1</v>
      </c>
      <c r="F16" s="2" t="s">
        <v>23</v>
      </c>
      <c r="G16" s="2" t="s">
        <v>19</v>
      </c>
      <c r="H16" s="2" t="s">
        <v>26</v>
      </c>
      <c r="I16" s="2">
        <v>1</v>
      </c>
      <c r="J16" s="4" t="s">
        <v>21</v>
      </c>
      <c r="K16" s="2" t="s">
        <v>30</v>
      </c>
      <c r="L16" s="2">
        <v>45</v>
      </c>
      <c r="M16" t="str" cm="1">
        <f t="array" ref="M16">_xlfn.IFS(L16&lt;=35,"YOUNG_ADULTS",L16&lt;=55,"MIDDLE_AGED",L16&gt;55,"OLD-AGED")</f>
        <v>MIDDLE_AGED</v>
      </c>
      <c r="N16" s="2" t="s">
        <v>20</v>
      </c>
      <c r="O16" t="str" cm="1">
        <f t="array" ref="O16">_xlfn.IFS(D16&lt;=50000,"low income",D16&lt;=100000,"Mid income",D16&gt;100000,"High income")</f>
        <v>Mid income</v>
      </c>
      <c r="P16" t="str" cm="1">
        <f t="array" ref="P16">_xlfn.IFS(E16&lt;=2,"&lt;=2",E16&gt;2,"&gt;2")</f>
        <v>&lt;=2</v>
      </c>
    </row>
    <row r="17" spans="1:16">
      <c r="A17" s="2">
        <v>20870</v>
      </c>
      <c r="B17" s="2" t="s">
        <v>28</v>
      </c>
      <c r="C17" s="2" t="s">
        <v>17</v>
      </c>
      <c r="D17" s="6">
        <v>10000</v>
      </c>
      <c r="E17" s="2">
        <v>2</v>
      </c>
      <c r="F17" s="2" t="s">
        <v>33</v>
      </c>
      <c r="G17" s="2" t="s">
        <v>31</v>
      </c>
      <c r="H17" s="2" t="s">
        <v>20</v>
      </c>
      <c r="I17" s="2">
        <v>1</v>
      </c>
      <c r="J17" s="4" t="s">
        <v>21</v>
      </c>
      <c r="K17" s="2" t="s">
        <v>22</v>
      </c>
      <c r="L17" s="2">
        <v>38</v>
      </c>
      <c r="M17" t="str" cm="1">
        <f t="array" ref="M17">_xlfn.IFS(L17&lt;=35,"YOUNG_ADULTS",L17&lt;=55,"MIDDLE_AGED",L17&gt;55,"OLD-AGED")</f>
        <v>MIDDLE_AGED</v>
      </c>
      <c r="N17" s="2" t="s">
        <v>20</v>
      </c>
      <c r="O17" t="str" cm="1">
        <f t="array" ref="O17">_xlfn.IFS(D17&lt;=50000,"low income",D17&lt;=100000,"Mid income",D17&gt;100000,"High income")</f>
        <v>low income</v>
      </c>
      <c r="P17" t="str" cm="1">
        <f t="array" ref="P17">_xlfn.IFS(E17&lt;=2,"&lt;=2",E17&gt;2,"&gt;2")</f>
        <v>&lt;=2</v>
      </c>
    </row>
    <row r="18" spans="1:16">
      <c r="A18" s="2">
        <v>23316</v>
      </c>
      <c r="B18" s="2" t="s">
        <v>28</v>
      </c>
      <c r="C18" s="2" t="s">
        <v>16</v>
      </c>
      <c r="D18" s="6">
        <v>30000</v>
      </c>
      <c r="E18" s="2">
        <v>3</v>
      </c>
      <c r="F18" s="2" t="s">
        <v>23</v>
      </c>
      <c r="G18" s="2" t="s">
        <v>24</v>
      </c>
      <c r="H18" s="2" t="s">
        <v>26</v>
      </c>
      <c r="I18" s="2">
        <v>2</v>
      </c>
      <c r="J18" s="4" t="s">
        <v>32</v>
      </c>
      <c r="K18" s="2" t="s">
        <v>30</v>
      </c>
      <c r="L18" s="2">
        <v>59</v>
      </c>
      <c r="M18" t="str" cm="1">
        <f t="array" ref="M18">_xlfn.IFS(L18&lt;=35,"YOUNG_ADULTS",L18&lt;=55,"MIDDLE_AGED",L18&gt;55,"OLD-AGED")</f>
        <v>OLD-AGED</v>
      </c>
      <c r="N18" s="2" t="s">
        <v>20</v>
      </c>
      <c r="O18" t="str" cm="1">
        <f t="array" ref="O18">_xlfn.IFS(D18&lt;=50000,"low income",D18&lt;=100000,"Mid income",D18&gt;100000,"High income")</f>
        <v>low income</v>
      </c>
      <c r="P18" t="str" cm="1">
        <f t="array" ref="P18">_xlfn.IFS(E18&lt;=2,"&lt;=2",E18&gt;2,"&gt;2")</f>
        <v>&gt;2</v>
      </c>
    </row>
    <row r="19" spans="1:16">
      <c r="A19" s="2">
        <v>12610</v>
      </c>
      <c r="B19" s="2" t="s">
        <v>16</v>
      </c>
      <c r="C19" s="2" t="s">
        <v>17</v>
      </c>
      <c r="D19" s="6">
        <v>30000</v>
      </c>
      <c r="E19" s="2">
        <v>1</v>
      </c>
      <c r="F19" s="2" t="s">
        <v>18</v>
      </c>
      <c r="G19" s="2" t="s">
        <v>24</v>
      </c>
      <c r="H19" s="2" t="s">
        <v>20</v>
      </c>
      <c r="I19" s="2">
        <v>0</v>
      </c>
      <c r="J19" s="4" t="s">
        <v>21</v>
      </c>
      <c r="K19" s="2" t="s">
        <v>22</v>
      </c>
      <c r="L19" s="2">
        <v>47</v>
      </c>
      <c r="M19" t="str" cm="1">
        <f t="array" ref="M19">_xlfn.IFS(L19&lt;=35,"YOUNG_ADULTS",L19&lt;=55,"MIDDLE_AGED",L19&gt;55,"OLD-AGED")</f>
        <v>MIDDLE_AGED</v>
      </c>
      <c r="O19" t="str" cm="1">
        <f t="array" ref="O19">_xlfn.IFS(D19&lt;=50000,"low income",D19&lt;=100000,"Mid income",D19&gt;100000,"High income")</f>
        <v>low income</v>
      </c>
      <c r="P19" t="str" cm="1">
        <f t="array" ref="P19">_xlfn.IFS(E19&lt;=2,"&lt;=2",E19&gt;2,"&gt;2")</f>
        <v>&lt;=2</v>
      </c>
    </row>
    <row r="20" spans="1:16">
      <c r="A20" s="2">
        <v>27183</v>
      </c>
      <c r="B20" s="2" t="s">
        <v>28</v>
      </c>
      <c r="C20" s="2" t="s">
        <v>16</v>
      </c>
      <c r="D20" s="6">
        <v>40000</v>
      </c>
      <c r="E20" s="2">
        <v>2</v>
      </c>
      <c r="F20" s="2" t="s">
        <v>23</v>
      </c>
      <c r="G20" s="2" t="s">
        <v>24</v>
      </c>
      <c r="H20" s="2" t="s">
        <v>20</v>
      </c>
      <c r="I20" s="2">
        <v>1</v>
      </c>
      <c r="J20" s="4" t="s">
        <v>32</v>
      </c>
      <c r="K20" s="2" t="s">
        <v>22</v>
      </c>
      <c r="L20" s="2">
        <v>35</v>
      </c>
      <c r="M20" t="str" cm="1">
        <f t="array" ref="M20">_xlfn.IFS(L20&lt;=35,"YOUNG_ADULTS",L20&lt;=55,"MIDDLE_AGED",L20&gt;55,"OLD-AGED")</f>
        <v>YOUNG_ADULTS</v>
      </c>
      <c r="N20" s="2" t="s">
        <v>20</v>
      </c>
      <c r="O20" t="str" cm="1">
        <f t="array" ref="O20">_xlfn.IFS(D20&lt;=50000,"low income",D20&lt;=100000,"Mid income",D20&gt;100000,"High income")</f>
        <v>low income</v>
      </c>
      <c r="P20" t="str" cm="1">
        <f t="array" ref="P20">_xlfn.IFS(E20&lt;=2,"&lt;=2",E20&gt;2,"&gt;2")</f>
        <v>&lt;=2</v>
      </c>
    </row>
    <row r="21" spans="1:16">
      <c r="A21" s="2">
        <v>25940</v>
      </c>
      <c r="B21" s="2" t="s">
        <v>28</v>
      </c>
      <c r="C21" s="2" t="s">
        <v>16</v>
      </c>
      <c r="D21" s="6">
        <v>20000</v>
      </c>
      <c r="E21" s="2">
        <v>2</v>
      </c>
      <c r="F21" s="2" t="s">
        <v>35</v>
      </c>
      <c r="G21" s="2" t="s">
        <v>24</v>
      </c>
      <c r="H21" s="2" t="s">
        <v>20</v>
      </c>
      <c r="I21" s="2">
        <v>2</v>
      </c>
      <c r="J21" s="4" t="s">
        <v>29</v>
      </c>
      <c r="K21" s="2" t="s">
        <v>30</v>
      </c>
      <c r="L21" s="2">
        <v>55</v>
      </c>
      <c r="M21" t="str" cm="1">
        <f t="array" ref="M21">_xlfn.IFS(L21&lt;=35,"YOUNG_ADULTS",L21&lt;=55,"MIDDLE_AGED",L21&gt;55,"OLD-AGED")</f>
        <v>MIDDLE_AGED</v>
      </c>
      <c r="N21" s="2" t="s">
        <v>20</v>
      </c>
      <c r="O21" t="str" cm="1">
        <f t="array" ref="O21">_xlfn.IFS(D21&lt;=50000,"low income",D21&lt;=100000,"Mid income",D21&gt;100000,"High income")</f>
        <v>low income</v>
      </c>
      <c r="P21" t="str" cm="1">
        <f t="array" ref="P21">_xlfn.IFS(E21&lt;=2,"&lt;=2",E21&gt;2,"&gt;2")</f>
        <v>&lt;=2</v>
      </c>
    </row>
    <row r="22" spans="1:16">
      <c r="A22" s="2">
        <v>25598</v>
      </c>
      <c r="B22" s="2" t="s">
        <v>16</v>
      </c>
      <c r="C22" s="2" t="s">
        <v>17</v>
      </c>
      <c r="D22" s="6">
        <v>40000</v>
      </c>
      <c r="E22" s="2">
        <v>0</v>
      </c>
      <c r="F22" s="2" t="s">
        <v>37</v>
      </c>
      <c r="G22" s="2" t="s">
        <v>24</v>
      </c>
      <c r="H22" s="2" t="s">
        <v>20</v>
      </c>
      <c r="I22" s="2">
        <v>0</v>
      </c>
      <c r="J22" s="4" t="s">
        <v>21</v>
      </c>
      <c r="K22" s="2" t="s">
        <v>22</v>
      </c>
      <c r="L22" s="2">
        <v>36</v>
      </c>
      <c r="M22" t="str" cm="1">
        <f t="array" ref="M22">_xlfn.IFS(L22&lt;=35,"YOUNG_ADULTS",L22&lt;=55,"MIDDLE_AGED",L22&gt;55,"OLD-AGED")</f>
        <v>MIDDLE_AGED</v>
      </c>
      <c r="N22" s="2" t="s">
        <v>20</v>
      </c>
      <c r="O22" t="str" cm="1">
        <f t="array" ref="O22">_xlfn.IFS(D22&lt;=50000,"low income",D22&lt;=100000,"Mid income",D22&gt;100000,"High income")</f>
        <v>low income</v>
      </c>
      <c r="P22" t="str" cm="1">
        <f t="array" ref="P22">_xlfn.IFS(E22&lt;=2,"&lt;=2",E22&gt;2,"&gt;2")</f>
        <v>&lt;=2</v>
      </c>
    </row>
    <row r="23" spans="1:16">
      <c r="A23" s="2">
        <v>21564</v>
      </c>
      <c r="B23" s="2" t="s">
        <v>28</v>
      </c>
      <c r="C23" s="2" t="s">
        <v>17</v>
      </c>
      <c r="D23" s="6">
        <v>80000</v>
      </c>
      <c r="E23" s="2">
        <v>0</v>
      </c>
      <c r="F23" s="2" t="s">
        <v>18</v>
      </c>
      <c r="G23" s="2" t="s">
        <v>25</v>
      </c>
      <c r="H23" s="2" t="s">
        <v>20</v>
      </c>
      <c r="I23" s="2">
        <v>4</v>
      </c>
      <c r="J23" s="4" t="s">
        <v>36</v>
      </c>
      <c r="K23" s="2" t="s">
        <v>30</v>
      </c>
      <c r="L23" s="2">
        <v>35</v>
      </c>
      <c r="M23" t="str" cm="1">
        <f t="array" ref="M23">_xlfn.IFS(L23&lt;=35,"YOUNG_ADULTS",L23&lt;=55,"MIDDLE_AGED",L23&gt;55,"OLD-AGED")</f>
        <v>YOUNG_ADULTS</v>
      </c>
      <c r="O23" t="str" cm="1">
        <f t="array" ref="O23">_xlfn.IFS(D23&lt;=50000,"low income",D23&lt;=100000,"Mid income",D23&gt;100000,"High income")</f>
        <v>Mid income</v>
      </c>
      <c r="P23" t="str" cm="1">
        <f t="array" ref="P23">_xlfn.IFS(E23&lt;=2,"&lt;=2",E23&gt;2,"&gt;2")</f>
        <v>&lt;=2</v>
      </c>
    </row>
    <row r="24" spans="1:16">
      <c r="A24" s="2">
        <v>19193</v>
      </c>
      <c r="B24" s="2" t="s">
        <v>28</v>
      </c>
      <c r="C24" s="2" t="s">
        <v>16</v>
      </c>
      <c r="D24" s="6">
        <v>40000</v>
      </c>
      <c r="E24" s="2">
        <v>2</v>
      </c>
      <c r="F24" s="2" t="s">
        <v>23</v>
      </c>
      <c r="G24" s="2" t="s">
        <v>24</v>
      </c>
      <c r="H24" s="2" t="s">
        <v>20</v>
      </c>
      <c r="I24" s="2">
        <v>0</v>
      </c>
      <c r="J24" s="4" t="s">
        <v>32</v>
      </c>
      <c r="K24" s="2" t="s">
        <v>22</v>
      </c>
      <c r="L24" s="2">
        <v>35</v>
      </c>
      <c r="M24" t="str" cm="1">
        <f t="array" ref="M24">_xlfn.IFS(L24&lt;=35,"YOUNG_ADULTS",L24&lt;=55,"MIDDLE_AGED",L24&gt;55,"OLD-AGED")</f>
        <v>YOUNG_ADULTS</v>
      </c>
      <c r="N24" s="2" t="s">
        <v>20</v>
      </c>
      <c r="O24" t="str" cm="1">
        <f t="array" ref="O24">_xlfn.IFS(D24&lt;=50000,"low income",D24&lt;=100000,"Mid income",D24&gt;100000,"High income")</f>
        <v>low income</v>
      </c>
      <c r="P24" t="str" cm="1">
        <f t="array" ref="P24">_xlfn.IFS(E24&lt;=2,"&lt;=2",E24&gt;2,"&gt;2")</f>
        <v>&lt;=2</v>
      </c>
    </row>
    <row r="25" spans="1:16">
      <c r="A25" s="2">
        <v>26412</v>
      </c>
      <c r="B25" s="2" t="s">
        <v>16</v>
      </c>
      <c r="C25" s="2" t="s">
        <v>17</v>
      </c>
      <c r="D25" s="6">
        <v>80000</v>
      </c>
      <c r="E25" s="2">
        <v>5</v>
      </c>
      <c r="F25" s="2" t="s">
        <v>33</v>
      </c>
      <c r="G25" s="2" t="s">
        <v>34</v>
      </c>
      <c r="H25" s="2" t="s">
        <v>26</v>
      </c>
      <c r="I25" s="2">
        <v>3</v>
      </c>
      <c r="J25" s="4" t="s">
        <v>29</v>
      </c>
      <c r="K25" s="2" t="s">
        <v>22</v>
      </c>
      <c r="L25" s="2">
        <v>56</v>
      </c>
      <c r="M25" t="str" cm="1">
        <f t="array" ref="M25">_xlfn.IFS(L25&lt;=35,"YOUNG_ADULTS",L25&lt;=55,"MIDDLE_AGED",L25&gt;55,"OLD-AGED")</f>
        <v>OLD-AGED</v>
      </c>
      <c r="O25" t="str" cm="1">
        <f t="array" ref="O25">_xlfn.IFS(D25&lt;=50000,"low income",D25&lt;=100000,"Mid income",D25&gt;100000,"High income")</f>
        <v>Mid income</v>
      </c>
      <c r="P25" t="str" cm="1">
        <f t="array" ref="P25">_xlfn.IFS(E25&lt;=2,"&lt;=2",E25&gt;2,"&gt;2")</f>
        <v>&gt;2</v>
      </c>
    </row>
    <row r="26" spans="1:16">
      <c r="A26" s="2">
        <v>27184</v>
      </c>
      <c r="B26" s="2" t="s">
        <v>28</v>
      </c>
      <c r="C26" s="2" t="s">
        <v>16</v>
      </c>
      <c r="D26" s="6">
        <v>40000</v>
      </c>
      <c r="E26" s="2">
        <v>2</v>
      </c>
      <c r="F26" s="2" t="s">
        <v>23</v>
      </c>
      <c r="G26" s="2" t="s">
        <v>24</v>
      </c>
      <c r="H26" s="2" t="s">
        <v>26</v>
      </c>
      <c r="I26" s="2">
        <v>1</v>
      </c>
      <c r="J26" s="4" t="s">
        <v>21</v>
      </c>
      <c r="K26" s="2" t="s">
        <v>22</v>
      </c>
      <c r="L26" s="2">
        <v>34</v>
      </c>
      <c r="M26" t="str" cm="1">
        <f t="array" ref="M26">_xlfn.IFS(L26&lt;=35,"YOUNG_ADULTS",L26&lt;=55,"MIDDLE_AGED",L26&gt;55,"OLD-AGED")</f>
        <v>YOUNG_ADULTS</v>
      </c>
      <c r="O26" t="str" cm="1">
        <f t="array" ref="O26">_xlfn.IFS(D26&lt;=50000,"low income",D26&lt;=100000,"Mid income",D26&gt;100000,"High income")</f>
        <v>low income</v>
      </c>
      <c r="P26" t="str" cm="1">
        <f t="array" ref="P26">_xlfn.IFS(E26&lt;=2,"&lt;=2",E26&gt;2,"&gt;2")</f>
        <v>&lt;=2</v>
      </c>
    </row>
    <row r="27" spans="1:16">
      <c r="A27" s="2">
        <v>12590</v>
      </c>
      <c r="B27" s="2" t="s">
        <v>28</v>
      </c>
      <c r="C27" s="2" t="s">
        <v>16</v>
      </c>
      <c r="D27" s="6">
        <v>30000</v>
      </c>
      <c r="E27" s="2">
        <v>1</v>
      </c>
      <c r="F27" s="2" t="s">
        <v>18</v>
      </c>
      <c r="G27" s="2" t="s">
        <v>24</v>
      </c>
      <c r="H27" s="2" t="s">
        <v>20</v>
      </c>
      <c r="I27" s="2">
        <v>0</v>
      </c>
      <c r="J27" s="4" t="s">
        <v>21</v>
      </c>
      <c r="K27" s="2" t="s">
        <v>22</v>
      </c>
      <c r="L27" s="2">
        <v>63</v>
      </c>
      <c r="M27" t="str" cm="1">
        <f t="array" ref="M27">_xlfn.IFS(L27&lt;=35,"YOUNG_ADULTS",L27&lt;=55,"MIDDLE_AGED",L27&gt;55,"OLD-AGED")</f>
        <v>OLD-AGED</v>
      </c>
      <c r="O27" t="str" cm="1">
        <f t="array" ref="O27">_xlfn.IFS(D27&lt;=50000,"low income",D27&lt;=100000,"Mid income",D27&gt;100000,"High income")</f>
        <v>low income</v>
      </c>
      <c r="P27" t="str" cm="1">
        <f t="array" ref="P27">_xlfn.IFS(E27&lt;=2,"&lt;=2",E27&gt;2,"&gt;2")</f>
        <v>&lt;=2</v>
      </c>
    </row>
    <row r="28" spans="1:16">
      <c r="A28" s="2">
        <v>17841</v>
      </c>
      <c r="B28" s="2" t="s">
        <v>28</v>
      </c>
      <c r="C28" s="2" t="s">
        <v>16</v>
      </c>
      <c r="D28" s="6">
        <v>30000</v>
      </c>
      <c r="E28" s="2">
        <v>0</v>
      </c>
      <c r="F28" s="2" t="s">
        <v>23</v>
      </c>
      <c r="G28" s="2" t="s">
        <v>24</v>
      </c>
      <c r="H28" s="2" t="s">
        <v>26</v>
      </c>
      <c r="I28" s="2">
        <v>1</v>
      </c>
      <c r="J28" s="4" t="s">
        <v>21</v>
      </c>
      <c r="K28" s="2" t="s">
        <v>22</v>
      </c>
      <c r="L28" s="2">
        <v>29</v>
      </c>
      <c r="M28" t="str" cm="1">
        <f t="array" ref="M28">_xlfn.IFS(L28&lt;=35,"YOUNG_ADULTS",L28&lt;=55,"MIDDLE_AGED",L28&gt;55,"OLD-AGED")</f>
        <v>YOUNG_ADULTS</v>
      </c>
      <c r="N28" s="2" t="s">
        <v>20</v>
      </c>
      <c r="O28" t="str" cm="1">
        <f t="array" ref="O28">_xlfn.IFS(D28&lt;=50000,"low income",D28&lt;=100000,"Mid income",D28&gt;100000,"High income")</f>
        <v>low income</v>
      </c>
      <c r="P28" t="str" cm="1">
        <f t="array" ref="P28">_xlfn.IFS(E28&lt;=2,"&lt;=2",E28&gt;2,"&gt;2")</f>
        <v>&lt;=2</v>
      </c>
    </row>
    <row r="29" spans="1:16">
      <c r="A29" s="2">
        <v>18283</v>
      </c>
      <c r="B29" s="2" t="s">
        <v>28</v>
      </c>
      <c r="C29" s="2" t="s">
        <v>17</v>
      </c>
      <c r="D29" s="6">
        <v>100000</v>
      </c>
      <c r="E29" s="2">
        <v>0</v>
      </c>
      <c r="F29" s="2" t="s">
        <v>18</v>
      </c>
      <c r="G29" s="2" t="s">
        <v>25</v>
      </c>
      <c r="H29" s="2" t="s">
        <v>26</v>
      </c>
      <c r="I29" s="2">
        <v>1</v>
      </c>
      <c r="J29" s="4" t="s">
        <v>29</v>
      </c>
      <c r="K29" s="2" t="s">
        <v>30</v>
      </c>
      <c r="L29" s="2">
        <v>40</v>
      </c>
      <c r="M29" t="str" cm="1">
        <f t="array" ref="M29">_xlfn.IFS(L29&lt;=35,"YOUNG_ADULTS",L29&lt;=55,"MIDDLE_AGED",L29&gt;55,"OLD-AGED")</f>
        <v>MIDDLE_AGED</v>
      </c>
      <c r="O29" t="str" cm="1">
        <f t="array" ref="O29">_xlfn.IFS(D29&lt;=50000,"low income",D29&lt;=100000,"Mid income",D29&gt;100000,"High income")</f>
        <v>Mid income</v>
      </c>
      <c r="P29" t="str" cm="1">
        <f t="array" ref="P29">_xlfn.IFS(E29&lt;=2,"&lt;=2",E29&gt;2,"&gt;2")</f>
        <v>&lt;=2</v>
      </c>
    </row>
    <row r="30" spans="1:16">
      <c r="A30" s="2">
        <v>18299</v>
      </c>
      <c r="B30" s="2" t="s">
        <v>16</v>
      </c>
      <c r="C30" s="2" t="s">
        <v>16</v>
      </c>
      <c r="D30" s="6">
        <v>70000</v>
      </c>
      <c r="E30" s="2">
        <v>5</v>
      </c>
      <c r="F30" s="2" t="s">
        <v>23</v>
      </c>
      <c r="G30" s="2" t="s">
        <v>19</v>
      </c>
      <c r="H30" s="2" t="s">
        <v>20</v>
      </c>
      <c r="I30" s="2">
        <v>2</v>
      </c>
      <c r="J30" s="4" t="s">
        <v>29</v>
      </c>
      <c r="K30" s="2" t="s">
        <v>30</v>
      </c>
      <c r="L30" s="2">
        <v>44</v>
      </c>
      <c r="M30" t="str" cm="1">
        <f t="array" ref="M30">_xlfn.IFS(L30&lt;=35,"YOUNG_ADULTS",L30&lt;=55,"MIDDLE_AGED",L30&gt;55,"OLD-AGED")</f>
        <v>MIDDLE_AGED</v>
      </c>
      <c r="O30" t="str" cm="1">
        <f t="array" ref="O30">_xlfn.IFS(D30&lt;=50000,"low income",D30&lt;=100000,"Mid income",D30&gt;100000,"High income")</f>
        <v>Mid income</v>
      </c>
      <c r="P30" t="str" cm="1">
        <f t="array" ref="P30">_xlfn.IFS(E30&lt;=2,"&lt;=2",E30&gt;2,"&gt;2")</f>
        <v>&gt;2</v>
      </c>
    </row>
    <row r="31" spans="1:16">
      <c r="A31" s="2">
        <v>16466</v>
      </c>
      <c r="B31" s="2" t="s">
        <v>28</v>
      </c>
      <c r="C31" s="2" t="s">
        <v>17</v>
      </c>
      <c r="D31" s="6">
        <v>20000</v>
      </c>
      <c r="E31" s="2">
        <v>0</v>
      </c>
      <c r="F31" s="2" t="s">
        <v>35</v>
      </c>
      <c r="G31" s="2" t="s">
        <v>31</v>
      </c>
      <c r="H31" s="2" t="s">
        <v>26</v>
      </c>
      <c r="I31" s="2">
        <v>2</v>
      </c>
      <c r="J31" s="4" t="s">
        <v>21</v>
      </c>
      <c r="K31" s="2" t="s">
        <v>22</v>
      </c>
      <c r="L31" s="2">
        <v>32</v>
      </c>
      <c r="M31" t="str" cm="1">
        <f t="array" ref="M31">_xlfn.IFS(L31&lt;=35,"YOUNG_ADULTS",L31&lt;=55,"MIDDLE_AGED",L31&gt;55,"OLD-AGED")</f>
        <v>YOUNG_ADULTS</v>
      </c>
      <c r="N31" s="2" t="s">
        <v>20</v>
      </c>
      <c r="O31" t="str" cm="1">
        <f t="array" ref="O31">_xlfn.IFS(D31&lt;=50000,"low income",D31&lt;=100000,"Mid income",D31&gt;100000,"High income")</f>
        <v>low income</v>
      </c>
      <c r="P31" t="str" cm="1">
        <f t="array" ref="P31">_xlfn.IFS(E31&lt;=2,"&lt;=2",E31&gt;2,"&gt;2")</f>
        <v>&lt;=2</v>
      </c>
    </row>
    <row r="32" spans="1:16">
      <c r="A32" s="2">
        <v>19273</v>
      </c>
      <c r="B32" s="2" t="s">
        <v>16</v>
      </c>
      <c r="C32" s="2" t="s">
        <v>17</v>
      </c>
      <c r="D32" s="6">
        <v>20000</v>
      </c>
      <c r="E32" s="2">
        <v>2</v>
      </c>
      <c r="F32" s="2" t="s">
        <v>23</v>
      </c>
      <c r="G32" s="2" t="s">
        <v>31</v>
      </c>
      <c r="H32" s="2" t="s">
        <v>20</v>
      </c>
      <c r="I32" s="2">
        <v>0</v>
      </c>
      <c r="J32" s="4" t="s">
        <v>21</v>
      </c>
      <c r="K32" s="2" t="s">
        <v>22</v>
      </c>
      <c r="L32" s="2">
        <v>63</v>
      </c>
      <c r="M32" t="str" cm="1">
        <f t="array" ref="M32">_xlfn.IFS(L32&lt;=35,"YOUNG_ADULTS",L32&lt;=55,"MIDDLE_AGED",L32&gt;55,"OLD-AGED")</f>
        <v>OLD-AGED</v>
      </c>
      <c r="O32" t="str" cm="1">
        <f t="array" ref="O32">_xlfn.IFS(D32&lt;=50000,"low income",D32&lt;=100000,"Mid income",D32&gt;100000,"High income")</f>
        <v>low income</v>
      </c>
      <c r="P32" t="str" cm="1">
        <f t="array" ref="P32">_xlfn.IFS(E32&lt;=2,"&lt;=2",E32&gt;2,"&gt;2")</f>
        <v>&lt;=2</v>
      </c>
    </row>
    <row r="33" spans="1:16">
      <c r="A33" s="2">
        <v>22400</v>
      </c>
      <c r="B33" s="2" t="s">
        <v>16</v>
      </c>
      <c r="C33" s="2" t="s">
        <v>16</v>
      </c>
      <c r="D33" s="6">
        <v>10000</v>
      </c>
      <c r="E33" s="2">
        <v>0</v>
      </c>
      <c r="F33" s="2" t="s">
        <v>23</v>
      </c>
      <c r="G33" s="2" t="s">
        <v>31</v>
      </c>
      <c r="H33" s="2" t="s">
        <v>26</v>
      </c>
      <c r="I33" s="2">
        <v>1</v>
      </c>
      <c r="J33" s="4" t="s">
        <v>21</v>
      </c>
      <c r="K33" s="2" t="s">
        <v>30</v>
      </c>
      <c r="L33" s="2">
        <v>26</v>
      </c>
      <c r="M33" t="str" cm="1">
        <f t="array" ref="M33">_xlfn.IFS(L33&lt;=35,"YOUNG_ADULTS",L33&lt;=55,"MIDDLE_AGED",L33&gt;55,"OLD-AGED")</f>
        <v>YOUNG_ADULTS</v>
      </c>
      <c r="N33" s="2" t="s">
        <v>20</v>
      </c>
      <c r="O33" t="str" cm="1">
        <f t="array" ref="O33">_xlfn.IFS(D33&lt;=50000,"low income",D33&lt;=100000,"Mid income",D33&gt;100000,"High income")</f>
        <v>low income</v>
      </c>
      <c r="P33" t="str" cm="1">
        <f t="array" ref="P33">_xlfn.IFS(E33&lt;=2,"&lt;=2",E33&gt;2,"&gt;2")</f>
        <v>&lt;=2</v>
      </c>
    </row>
    <row r="34" spans="1:16">
      <c r="A34" s="2">
        <v>20942</v>
      </c>
      <c r="B34" s="2" t="s">
        <v>28</v>
      </c>
      <c r="C34" s="2" t="s">
        <v>17</v>
      </c>
      <c r="D34" s="6">
        <v>20000</v>
      </c>
      <c r="E34" s="2">
        <v>0</v>
      </c>
      <c r="F34" s="2" t="s">
        <v>33</v>
      </c>
      <c r="G34" s="2" t="s">
        <v>31</v>
      </c>
      <c r="H34" s="2" t="s">
        <v>26</v>
      </c>
      <c r="I34" s="2">
        <v>1</v>
      </c>
      <c r="J34" s="4" t="s">
        <v>29</v>
      </c>
      <c r="K34" s="2" t="s">
        <v>22</v>
      </c>
      <c r="L34" s="2">
        <v>31</v>
      </c>
      <c r="M34" t="str" cm="1">
        <f t="array" ref="M34">_xlfn.IFS(L34&lt;=35,"YOUNG_ADULTS",L34&lt;=55,"MIDDLE_AGED",L34&gt;55,"OLD-AGED")</f>
        <v>YOUNG_ADULTS</v>
      </c>
      <c r="O34" t="str" cm="1">
        <f t="array" ref="O34">_xlfn.IFS(D34&lt;=50000,"low income",D34&lt;=100000,"Mid income",D34&gt;100000,"High income")</f>
        <v>low income</v>
      </c>
      <c r="P34" t="str" cm="1">
        <f t="array" ref="P34">_xlfn.IFS(E34&lt;=2,"&lt;=2",E34&gt;2,"&gt;2")</f>
        <v>&lt;=2</v>
      </c>
    </row>
    <row r="35" spans="1:16">
      <c r="A35" s="2">
        <v>18484</v>
      </c>
      <c r="B35" s="2" t="s">
        <v>28</v>
      </c>
      <c r="C35" s="2" t="s">
        <v>16</v>
      </c>
      <c r="D35" s="6">
        <v>80000</v>
      </c>
      <c r="E35" s="2">
        <v>2</v>
      </c>
      <c r="F35" s="2" t="s">
        <v>33</v>
      </c>
      <c r="G35" s="2" t="s">
        <v>19</v>
      </c>
      <c r="H35" s="2" t="s">
        <v>26</v>
      </c>
      <c r="I35" s="2">
        <v>2</v>
      </c>
      <c r="J35" s="4" t="s">
        <v>32</v>
      </c>
      <c r="K35" s="2" t="s">
        <v>30</v>
      </c>
      <c r="L35" s="2">
        <v>50</v>
      </c>
      <c r="M35" t="str" cm="1">
        <f t="array" ref="M35">_xlfn.IFS(L35&lt;=35,"YOUNG_ADULTS",L35&lt;=55,"MIDDLE_AGED",L35&gt;55,"OLD-AGED")</f>
        <v>MIDDLE_AGED</v>
      </c>
      <c r="N35" s="2" t="s">
        <v>20</v>
      </c>
      <c r="O35" t="str" cm="1">
        <f t="array" ref="O35">_xlfn.IFS(D35&lt;=50000,"low income",D35&lt;=100000,"Mid income",D35&gt;100000,"High income")</f>
        <v>Mid income</v>
      </c>
      <c r="P35" t="str" cm="1">
        <f t="array" ref="P35">_xlfn.IFS(E35&lt;=2,"&lt;=2",E35&gt;2,"&gt;2")</f>
        <v>&lt;=2</v>
      </c>
    </row>
    <row r="36" spans="1:16">
      <c r="A36" s="2">
        <v>12291</v>
      </c>
      <c r="B36" s="2" t="s">
        <v>28</v>
      </c>
      <c r="C36" s="2" t="s">
        <v>16</v>
      </c>
      <c r="D36" s="6">
        <v>90000</v>
      </c>
      <c r="E36" s="2">
        <v>5</v>
      </c>
      <c r="F36" s="2" t="s">
        <v>23</v>
      </c>
      <c r="G36" s="2" t="s">
        <v>25</v>
      </c>
      <c r="H36" s="2" t="s">
        <v>26</v>
      </c>
      <c r="I36" s="2">
        <v>2</v>
      </c>
      <c r="J36" s="4" t="s">
        <v>27</v>
      </c>
      <c r="K36" s="2" t="s">
        <v>22</v>
      </c>
      <c r="L36" s="2">
        <v>62</v>
      </c>
      <c r="M36" t="str" cm="1">
        <f t="array" ref="M36">_xlfn.IFS(L36&lt;=35,"YOUNG_ADULTS",L36&lt;=55,"MIDDLE_AGED",L36&gt;55,"OLD-AGED")</f>
        <v>OLD-AGED</v>
      </c>
      <c r="N36" s="2" t="s">
        <v>20</v>
      </c>
      <c r="O36" t="str" cm="1">
        <f t="array" ref="O36">_xlfn.IFS(D36&lt;=50000,"low income",D36&lt;=100000,"Mid income",D36&gt;100000,"High income")</f>
        <v>Mid income</v>
      </c>
      <c r="P36" t="str" cm="1">
        <f t="array" ref="P36">_xlfn.IFS(E36&lt;=2,"&lt;=2",E36&gt;2,"&gt;2")</f>
        <v>&gt;2</v>
      </c>
    </row>
    <row r="37" spans="1:16">
      <c r="A37" s="2">
        <v>28380</v>
      </c>
      <c r="B37" s="2" t="s">
        <v>28</v>
      </c>
      <c r="C37" s="2" t="s">
        <v>17</v>
      </c>
      <c r="D37" s="6">
        <v>10000</v>
      </c>
      <c r="E37" s="2">
        <v>5</v>
      </c>
      <c r="F37" s="2" t="s">
        <v>35</v>
      </c>
      <c r="G37" s="2" t="s">
        <v>31</v>
      </c>
      <c r="H37" s="2" t="s">
        <v>26</v>
      </c>
      <c r="I37" s="2">
        <v>2</v>
      </c>
      <c r="J37" s="4" t="s">
        <v>21</v>
      </c>
      <c r="K37" s="2" t="s">
        <v>22</v>
      </c>
      <c r="L37" s="2">
        <v>41</v>
      </c>
      <c r="M37" t="str" cm="1">
        <f t="array" ref="M37">_xlfn.IFS(L37&lt;=35,"YOUNG_ADULTS",L37&lt;=55,"MIDDLE_AGED",L37&gt;55,"OLD-AGED")</f>
        <v>MIDDLE_AGED</v>
      </c>
      <c r="O37" t="str" cm="1">
        <f t="array" ref="O37">_xlfn.IFS(D37&lt;=50000,"low income",D37&lt;=100000,"Mid income",D37&gt;100000,"High income")</f>
        <v>low income</v>
      </c>
      <c r="P37" t="str" cm="1">
        <f t="array" ref="P37">_xlfn.IFS(E37&lt;=2,"&lt;=2",E37&gt;2,"&gt;2")</f>
        <v>&gt;2</v>
      </c>
    </row>
    <row r="38" spans="1:16">
      <c r="A38" s="2">
        <v>17891</v>
      </c>
      <c r="B38" s="2" t="s">
        <v>16</v>
      </c>
      <c r="C38" s="2" t="s">
        <v>17</v>
      </c>
      <c r="D38" s="6">
        <v>10000</v>
      </c>
      <c r="E38" s="2">
        <v>2</v>
      </c>
      <c r="F38" s="2" t="s">
        <v>23</v>
      </c>
      <c r="G38" s="2" t="s">
        <v>31</v>
      </c>
      <c r="H38" s="2" t="s">
        <v>20</v>
      </c>
      <c r="I38" s="2">
        <v>1</v>
      </c>
      <c r="J38" s="4" t="s">
        <v>21</v>
      </c>
      <c r="K38" s="2" t="s">
        <v>22</v>
      </c>
      <c r="L38" s="2">
        <v>50</v>
      </c>
      <c r="M38" t="str" cm="1">
        <f t="array" ref="M38">_xlfn.IFS(L38&lt;=35,"YOUNG_ADULTS",L38&lt;=55,"MIDDLE_AGED",L38&gt;55,"OLD-AGED")</f>
        <v>MIDDLE_AGED</v>
      </c>
      <c r="N38" s="2" t="s">
        <v>20</v>
      </c>
      <c r="O38" t="str" cm="1">
        <f t="array" ref="O38">_xlfn.IFS(D38&lt;=50000,"low income",D38&lt;=100000,"Mid income",D38&gt;100000,"High income")</f>
        <v>low income</v>
      </c>
      <c r="P38" t="str" cm="1">
        <f t="array" ref="P38">_xlfn.IFS(E38&lt;=2,"&lt;=2",E38&gt;2,"&gt;2")</f>
        <v>&lt;=2</v>
      </c>
    </row>
    <row r="39" spans="1:16">
      <c r="A39" s="2">
        <v>27832</v>
      </c>
      <c r="B39" s="2" t="s">
        <v>28</v>
      </c>
      <c r="C39" s="2" t="s">
        <v>17</v>
      </c>
      <c r="D39" s="6">
        <v>30000</v>
      </c>
      <c r="E39" s="2">
        <v>0</v>
      </c>
      <c r="F39" s="2" t="s">
        <v>23</v>
      </c>
      <c r="G39" s="2" t="s">
        <v>24</v>
      </c>
      <c r="H39" s="2" t="s">
        <v>26</v>
      </c>
      <c r="I39" s="2">
        <v>1</v>
      </c>
      <c r="J39" s="4" t="s">
        <v>27</v>
      </c>
      <c r="K39" s="2" t="s">
        <v>22</v>
      </c>
      <c r="L39" s="2">
        <v>30</v>
      </c>
      <c r="M39" t="str" cm="1">
        <f t="array" ref="M39">_xlfn.IFS(L39&lt;=35,"YOUNG_ADULTS",L39&lt;=55,"MIDDLE_AGED",L39&gt;55,"OLD-AGED")</f>
        <v>YOUNG_ADULTS</v>
      </c>
      <c r="O39" t="str" cm="1">
        <f t="array" ref="O39">_xlfn.IFS(D39&lt;=50000,"low income",D39&lt;=100000,"Mid income",D39&gt;100000,"High income")</f>
        <v>low income</v>
      </c>
      <c r="P39" t="str" cm="1">
        <f t="array" ref="P39">_xlfn.IFS(E39&lt;=2,"&lt;=2",E39&gt;2,"&gt;2")</f>
        <v>&lt;=2</v>
      </c>
    </row>
    <row r="40" spans="1:16">
      <c r="A40" s="2">
        <v>26863</v>
      </c>
      <c r="B40" s="2" t="s">
        <v>28</v>
      </c>
      <c r="C40" s="2" t="s">
        <v>16</v>
      </c>
      <c r="D40" s="6">
        <v>20000</v>
      </c>
      <c r="E40" s="2">
        <v>0</v>
      </c>
      <c r="F40" s="2" t="s">
        <v>33</v>
      </c>
      <c r="G40" s="2" t="s">
        <v>31</v>
      </c>
      <c r="H40" s="2" t="s">
        <v>26</v>
      </c>
      <c r="I40" s="2">
        <v>1</v>
      </c>
      <c r="J40" s="4" t="s">
        <v>27</v>
      </c>
      <c r="K40" s="2" t="s">
        <v>22</v>
      </c>
      <c r="L40" s="2">
        <v>28</v>
      </c>
      <c r="M40" t="str" cm="1">
        <f t="array" ref="M40">_xlfn.IFS(L40&lt;=35,"YOUNG_ADULTS",L40&lt;=55,"MIDDLE_AGED",L40&gt;55,"OLD-AGED")</f>
        <v>YOUNG_ADULTS</v>
      </c>
      <c r="O40" t="str" cm="1">
        <f t="array" ref="O40">_xlfn.IFS(D40&lt;=50000,"low income",D40&lt;=100000,"Mid income",D40&gt;100000,"High income")</f>
        <v>low income</v>
      </c>
      <c r="P40" t="str" cm="1">
        <f t="array" ref="P40">_xlfn.IFS(E40&lt;=2,"&lt;=2",E40&gt;2,"&gt;2")</f>
        <v>&lt;=2</v>
      </c>
    </row>
    <row r="41" spans="1:16">
      <c r="A41" s="2">
        <v>16259</v>
      </c>
      <c r="B41" s="2" t="s">
        <v>28</v>
      </c>
      <c r="C41" s="2" t="s">
        <v>17</v>
      </c>
      <c r="D41" s="6">
        <v>10000</v>
      </c>
      <c r="E41" s="2">
        <v>4</v>
      </c>
      <c r="F41" s="2" t="s">
        <v>35</v>
      </c>
      <c r="G41" s="2" t="s">
        <v>31</v>
      </c>
      <c r="H41" s="2" t="s">
        <v>20</v>
      </c>
      <c r="I41" s="2">
        <v>2</v>
      </c>
      <c r="J41" s="4" t="s">
        <v>21</v>
      </c>
      <c r="K41" s="2" t="s">
        <v>22</v>
      </c>
      <c r="L41" s="2">
        <v>40</v>
      </c>
      <c r="M41" t="str" cm="1">
        <f t="array" ref="M41">_xlfn.IFS(L41&lt;=35,"YOUNG_ADULTS",L41&lt;=55,"MIDDLE_AGED",L41&gt;55,"OLD-AGED")</f>
        <v>MIDDLE_AGED</v>
      </c>
      <c r="N41" s="2" t="s">
        <v>20</v>
      </c>
      <c r="O41" t="str" cm="1">
        <f t="array" ref="O41">_xlfn.IFS(D41&lt;=50000,"low income",D41&lt;=100000,"Mid income",D41&gt;100000,"High income")</f>
        <v>low income</v>
      </c>
      <c r="P41" t="str" cm="1">
        <f t="array" ref="P41">_xlfn.IFS(E41&lt;=2,"&lt;=2",E41&gt;2,"&gt;2")</f>
        <v>&gt;2</v>
      </c>
    </row>
    <row r="42" spans="1:16">
      <c r="A42" s="2">
        <v>27803</v>
      </c>
      <c r="B42" s="2" t="s">
        <v>28</v>
      </c>
      <c r="C42" s="2" t="s">
        <v>17</v>
      </c>
      <c r="D42" s="6">
        <v>30000</v>
      </c>
      <c r="E42" s="2">
        <v>2</v>
      </c>
      <c r="F42" s="2" t="s">
        <v>23</v>
      </c>
      <c r="G42" s="2" t="s">
        <v>24</v>
      </c>
      <c r="H42" s="2" t="s">
        <v>26</v>
      </c>
      <c r="I42" s="2">
        <v>0</v>
      </c>
      <c r="J42" s="4" t="s">
        <v>21</v>
      </c>
      <c r="K42" s="2" t="s">
        <v>22</v>
      </c>
      <c r="L42" s="2">
        <v>43</v>
      </c>
      <c r="M42" t="str" cm="1">
        <f t="array" ref="M42">_xlfn.IFS(L42&lt;=35,"YOUNG_ADULTS",L42&lt;=55,"MIDDLE_AGED",L42&gt;55,"OLD-AGED")</f>
        <v>MIDDLE_AGED</v>
      </c>
      <c r="O42" t="str" cm="1">
        <f t="array" ref="O42">_xlfn.IFS(D42&lt;=50000,"low income",D42&lt;=100000,"Mid income",D42&gt;100000,"High income")</f>
        <v>low income</v>
      </c>
      <c r="P42" t="str" cm="1">
        <f t="array" ref="P42">_xlfn.IFS(E42&lt;=2,"&lt;=2",E42&gt;2,"&gt;2")</f>
        <v>&lt;=2</v>
      </c>
    </row>
    <row r="43" spans="1:16">
      <c r="A43" s="2">
        <v>14347</v>
      </c>
      <c r="B43" s="2" t="s">
        <v>28</v>
      </c>
      <c r="C43" s="2" t="s">
        <v>17</v>
      </c>
      <c r="D43" s="6">
        <v>40000</v>
      </c>
      <c r="E43" s="2">
        <v>2</v>
      </c>
      <c r="F43" s="2" t="s">
        <v>18</v>
      </c>
      <c r="G43" s="2" t="s">
        <v>34</v>
      </c>
      <c r="H43" s="2" t="s">
        <v>20</v>
      </c>
      <c r="I43" s="2">
        <v>2</v>
      </c>
      <c r="J43" s="4" t="s">
        <v>29</v>
      </c>
      <c r="K43" s="2" t="s">
        <v>30</v>
      </c>
      <c r="L43" s="2">
        <v>65</v>
      </c>
      <c r="M43" t="str" cm="1">
        <f t="array" ref="M43">_xlfn.IFS(L43&lt;=35,"YOUNG_ADULTS",L43&lt;=55,"MIDDLE_AGED",L43&gt;55,"OLD-AGED")</f>
        <v>OLD-AGED</v>
      </c>
      <c r="N43" s="2" t="s">
        <v>20</v>
      </c>
      <c r="O43" t="str" cm="1">
        <f t="array" ref="O43">_xlfn.IFS(D43&lt;=50000,"low income",D43&lt;=100000,"Mid income",D43&gt;100000,"High income")</f>
        <v>low income</v>
      </c>
      <c r="P43" t="str" cm="1">
        <f t="array" ref="P43">_xlfn.IFS(E43&lt;=2,"&lt;=2",E43&gt;2,"&gt;2")</f>
        <v>&lt;=2</v>
      </c>
    </row>
    <row r="44" spans="1:16">
      <c r="A44" s="2">
        <v>17703</v>
      </c>
      <c r="B44" s="2" t="s">
        <v>16</v>
      </c>
      <c r="C44" s="2" t="s">
        <v>17</v>
      </c>
      <c r="D44" s="6">
        <v>10000</v>
      </c>
      <c r="E44" s="2">
        <v>1</v>
      </c>
      <c r="F44" s="2" t="s">
        <v>37</v>
      </c>
      <c r="G44" s="2" t="s">
        <v>31</v>
      </c>
      <c r="H44" s="2" t="s">
        <v>20</v>
      </c>
      <c r="I44" s="2">
        <v>0</v>
      </c>
      <c r="J44" s="4" t="s">
        <v>21</v>
      </c>
      <c r="K44" s="2" t="s">
        <v>22</v>
      </c>
      <c r="L44" s="2">
        <v>40</v>
      </c>
      <c r="M44" t="str" cm="1">
        <f t="array" ref="M44">_xlfn.IFS(L44&lt;=35,"YOUNG_ADULTS",L44&lt;=55,"MIDDLE_AGED",L44&gt;55,"OLD-AGED")</f>
        <v>MIDDLE_AGED</v>
      </c>
      <c r="O44" t="str" cm="1">
        <f t="array" ref="O44">_xlfn.IFS(D44&lt;=50000,"low income",D44&lt;=100000,"Mid income",D44&gt;100000,"High income")</f>
        <v>low income</v>
      </c>
      <c r="P44" t="str" cm="1">
        <f t="array" ref="P44">_xlfn.IFS(E44&lt;=2,"&lt;=2",E44&gt;2,"&gt;2")</f>
        <v>&lt;=2</v>
      </c>
    </row>
    <row r="45" spans="1:16">
      <c r="A45" s="2">
        <v>17185</v>
      </c>
      <c r="B45" s="2" t="s">
        <v>16</v>
      </c>
      <c r="C45" s="2" t="s">
        <v>17</v>
      </c>
      <c r="D45" s="6">
        <v>170000</v>
      </c>
      <c r="E45" s="2">
        <v>4</v>
      </c>
      <c r="F45" s="2" t="s">
        <v>23</v>
      </c>
      <c r="G45" s="2" t="s">
        <v>25</v>
      </c>
      <c r="H45" s="2" t="s">
        <v>26</v>
      </c>
      <c r="I45" s="2">
        <v>3</v>
      </c>
      <c r="J45" s="4" t="s">
        <v>29</v>
      </c>
      <c r="K45" s="2" t="s">
        <v>22</v>
      </c>
      <c r="L45" s="2">
        <v>48</v>
      </c>
      <c r="M45" t="str" cm="1">
        <f t="array" ref="M45">_xlfn.IFS(L45&lt;=35,"YOUNG_ADULTS",L45&lt;=55,"MIDDLE_AGED",L45&gt;55,"OLD-AGED")</f>
        <v>MIDDLE_AGED</v>
      </c>
      <c r="N45" s="2" t="s">
        <v>20</v>
      </c>
      <c r="O45" t="str" cm="1">
        <f t="array" ref="O45">_xlfn.IFS(D45&lt;=50000,"low income",D45&lt;=100000,"Mid income",D45&gt;100000,"High income")</f>
        <v>High income</v>
      </c>
      <c r="P45" t="str" cm="1">
        <f t="array" ref="P45">_xlfn.IFS(E45&lt;=2,"&lt;=2",E45&gt;2,"&gt;2")</f>
        <v>&gt;2</v>
      </c>
    </row>
    <row r="46" spans="1:16">
      <c r="A46" s="2">
        <v>29380</v>
      </c>
      <c r="B46" s="2" t="s">
        <v>16</v>
      </c>
      <c r="C46" s="2" t="s">
        <v>17</v>
      </c>
      <c r="D46" s="6">
        <v>20000</v>
      </c>
      <c r="E46" s="2">
        <v>3</v>
      </c>
      <c r="F46" s="2" t="s">
        <v>33</v>
      </c>
      <c r="G46" s="2" t="s">
        <v>31</v>
      </c>
      <c r="H46" s="2" t="s">
        <v>20</v>
      </c>
      <c r="I46" s="2">
        <v>0</v>
      </c>
      <c r="J46" s="4" t="s">
        <v>21</v>
      </c>
      <c r="K46" s="2" t="s">
        <v>22</v>
      </c>
      <c r="L46" s="2">
        <v>41</v>
      </c>
      <c r="M46" t="str" cm="1">
        <f t="array" ref="M46">_xlfn.IFS(L46&lt;=35,"YOUNG_ADULTS",L46&lt;=55,"MIDDLE_AGED",L46&gt;55,"OLD-AGED")</f>
        <v>MIDDLE_AGED</v>
      </c>
      <c r="N46" s="2" t="s">
        <v>20</v>
      </c>
      <c r="O46" t="str" cm="1">
        <f t="array" ref="O46">_xlfn.IFS(D46&lt;=50000,"low income",D46&lt;=100000,"Mid income",D46&gt;100000,"High income")</f>
        <v>low income</v>
      </c>
      <c r="P46" t="str" cm="1">
        <f t="array" ref="P46">_xlfn.IFS(E46&lt;=2,"&lt;=2",E46&gt;2,"&gt;2")</f>
        <v>&gt;2</v>
      </c>
    </row>
    <row r="47" spans="1:16">
      <c r="A47" s="2">
        <v>23986</v>
      </c>
      <c r="B47" s="2" t="s">
        <v>16</v>
      </c>
      <c r="C47" s="2" t="s">
        <v>17</v>
      </c>
      <c r="D47" s="6">
        <v>20000</v>
      </c>
      <c r="E47" s="2">
        <v>1</v>
      </c>
      <c r="F47" s="2" t="s">
        <v>18</v>
      </c>
      <c r="G47" s="2" t="s">
        <v>24</v>
      </c>
      <c r="H47" s="2" t="s">
        <v>20</v>
      </c>
      <c r="I47" s="2">
        <v>0</v>
      </c>
      <c r="J47" s="4" t="s">
        <v>21</v>
      </c>
      <c r="K47" s="2" t="s">
        <v>22</v>
      </c>
      <c r="L47" s="2">
        <v>66</v>
      </c>
      <c r="M47" t="str" cm="1">
        <f t="array" ref="M47">_xlfn.IFS(L47&lt;=35,"YOUNG_ADULTS",L47&lt;=55,"MIDDLE_AGED",L47&gt;55,"OLD-AGED")</f>
        <v>OLD-AGED</v>
      </c>
      <c r="N47" s="2" t="s">
        <v>20</v>
      </c>
      <c r="O47" t="str" cm="1">
        <f t="array" ref="O47">_xlfn.IFS(D47&lt;=50000,"low income",D47&lt;=100000,"Mid income",D47&gt;100000,"High income")</f>
        <v>low income</v>
      </c>
      <c r="P47" t="str" cm="1">
        <f t="array" ref="P47">_xlfn.IFS(E47&lt;=2,"&lt;=2",E47&gt;2,"&gt;2")</f>
        <v>&lt;=2</v>
      </c>
    </row>
    <row r="48" spans="1:16">
      <c r="A48" s="2">
        <v>24466</v>
      </c>
      <c r="B48" s="2" t="s">
        <v>16</v>
      </c>
      <c r="C48" s="2" t="s">
        <v>17</v>
      </c>
      <c r="D48" s="6">
        <v>60000</v>
      </c>
      <c r="E48" s="2">
        <v>1</v>
      </c>
      <c r="F48" s="2" t="s">
        <v>23</v>
      </c>
      <c r="G48" s="2" t="s">
        <v>19</v>
      </c>
      <c r="H48" s="2" t="s">
        <v>20</v>
      </c>
      <c r="I48" s="2">
        <v>1</v>
      </c>
      <c r="J48" s="4" t="s">
        <v>29</v>
      </c>
      <c r="K48" s="2" t="s">
        <v>30</v>
      </c>
      <c r="L48" s="2">
        <v>46</v>
      </c>
      <c r="M48" t="str" cm="1">
        <f t="array" ref="M48">_xlfn.IFS(L48&lt;=35,"YOUNG_ADULTS",L48&lt;=55,"MIDDLE_AGED",L48&gt;55,"OLD-AGED")</f>
        <v>MIDDLE_AGED</v>
      </c>
      <c r="N48" s="2" t="s">
        <v>20</v>
      </c>
      <c r="O48" t="str" cm="1">
        <f t="array" ref="O48">_xlfn.IFS(D48&lt;=50000,"low income",D48&lt;=100000,"Mid income",D48&gt;100000,"High income")</f>
        <v>Mid income</v>
      </c>
      <c r="P48" t="str" cm="1">
        <f t="array" ref="P48">_xlfn.IFS(E48&lt;=2,"&lt;=2",E48&gt;2,"&gt;2")</f>
        <v>&lt;=2</v>
      </c>
    </row>
    <row r="49" spans="1:16">
      <c r="A49" s="2">
        <v>29097</v>
      </c>
      <c r="B49" s="2" t="s">
        <v>28</v>
      </c>
      <c r="C49" s="2" t="s">
        <v>17</v>
      </c>
      <c r="D49" s="6">
        <v>40000</v>
      </c>
      <c r="E49" s="2">
        <v>2</v>
      </c>
      <c r="F49" s="2" t="s">
        <v>23</v>
      </c>
      <c r="G49" s="2" t="s">
        <v>19</v>
      </c>
      <c r="H49" s="2" t="s">
        <v>20</v>
      </c>
      <c r="I49" s="2">
        <v>2</v>
      </c>
      <c r="J49" s="4" t="s">
        <v>29</v>
      </c>
      <c r="K49" s="2" t="s">
        <v>30</v>
      </c>
      <c r="L49" s="2">
        <v>52</v>
      </c>
      <c r="M49" t="str" cm="1">
        <f t="array" ref="M49">_xlfn.IFS(L49&lt;=35,"YOUNG_ADULTS",L49&lt;=55,"MIDDLE_AGED",L49&gt;55,"OLD-AGED")</f>
        <v>MIDDLE_AGED</v>
      </c>
      <c r="N49" s="2" t="s">
        <v>20</v>
      </c>
      <c r="O49" t="str" cm="1">
        <f t="array" ref="O49">_xlfn.IFS(D49&lt;=50000,"low income",D49&lt;=100000,"Mid income",D49&gt;100000,"High income")</f>
        <v>low income</v>
      </c>
      <c r="P49" t="str" cm="1">
        <f t="array" ref="P49">_xlfn.IFS(E49&lt;=2,"&lt;=2",E49&gt;2,"&gt;2")</f>
        <v>&lt;=2</v>
      </c>
    </row>
    <row r="50" spans="1:16">
      <c r="A50" s="2">
        <v>19487</v>
      </c>
      <c r="B50" s="2" t="s">
        <v>16</v>
      </c>
      <c r="C50" s="2" t="s">
        <v>16</v>
      </c>
      <c r="D50" s="6">
        <v>30000</v>
      </c>
      <c r="E50" s="2">
        <v>2</v>
      </c>
      <c r="F50" s="2" t="s">
        <v>23</v>
      </c>
      <c r="G50" s="2" t="s">
        <v>24</v>
      </c>
      <c r="H50" s="2" t="s">
        <v>26</v>
      </c>
      <c r="I50" s="2">
        <v>2</v>
      </c>
      <c r="J50" s="4" t="s">
        <v>21</v>
      </c>
      <c r="K50" s="2" t="s">
        <v>22</v>
      </c>
      <c r="L50" s="2">
        <v>42</v>
      </c>
      <c r="M50" t="str" cm="1">
        <f t="array" ref="M50">_xlfn.IFS(L50&lt;=35,"YOUNG_ADULTS",L50&lt;=55,"MIDDLE_AGED",L50&gt;55,"OLD-AGED")</f>
        <v>MIDDLE_AGED</v>
      </c>
      <c r="O50" t="str" cm="1">
        <f t="array" ref="O50">_xlfn.IFS(D50&lt;=50000,"low income",D50&lt;=100000,"Mid income",D50&gt;100000,"High income")</f>
        <v>low income</v>
      </c>
      <c r="P50" t="str" cm="1">
        <f t="array" ref="P50">_xlfn.IFS(E50&lt;=2,"&lt;=2",E50&gt;2,"&gt;2")</f>
        <v>&lt;=2</v>
      </c>
    </row>
    <row r="51" spans="1:16">
      <c r="A51" s="2">
        <v>14939</v>
      </c>
      <c r="B51" s="2" t="s">
        <v>28</v>
      </c>
      <c r="C51" s="2" t="s">
        <v>16</v>
      </c>
      <c r="D51" s="6">
        <v>40000</v>
      </c>
      <c r="E51" s="2">
        <v>0</v>
      </c>
      <c r="F51" s="2" t="s">
        <v>18</v>
      </c>
      <c r="G51" s="2" t="s">
        <v>24</v>
      </c>
      <c r="H51" s="2" t="s">
        <v>20</v>
      </c>
      <c r="I51" s="2">
        <v>0</v>
      </c>
      <c r="J51" s="4" t="s">
        <v>21</v>
      </c>
      <c r="K51" s="2" t="s">
        <v>22</v>
      </c>
      <c r="L51" s="2">
        <v>39</v>
      </c>
      <c r="M51" t="str" cm="1">
        <f t="array" ref="M51">_xlfn.IFS(L51&lt;=35,"YOUNG_ADULTS",L51&lt;=55,"MIDDLE_AGED",L51&gt;55,"OLD-AGED")</f>
        <v>MIDDLE_AGED</v>
      </c>
      <c r="N51" s="2" t="s">
        <v>20</v>
      </c>
      <c r="O51" t="str" cm="1">
        <f t="array" ref="O51">_xlfn.IFS(D51&lt;=50000,"low income",D51&lt;=100000,"Mid income",D51&gt;100000,"High income")</f>
        <v>low income</v>
      </c>
      <c r="P51" t="str" cm="1">
        <f t="array" ref="P51">_xlfn.IFS(E51&lt;=2,"&lt;=2",E51&gt;2,"&gt;2")</f>
        <v>&lt;=2</v>
      </c>
    </row>
    <row r="52" spans="1:16">
      <c r="A52" s="2">
        <v>13826</v>
      </c>
      <c r="B52" s="2" t="s">
        <v>28</v>
      </c>
      <c r="C52" s="2" t="s">
        <v>17</v>
      </c>
      <c r="D52" s="6">
        <v>30000</v>
      </c>
      <c r="E52" s="2">
        <v>0</v>
      </c>
      <c r="F52" s="2" t="s">
        <v>23</v>
      </c>
      <c r="G52" s="2" t="s">
        <v>24</v>
      </c>
      <c r="H52" s="2" t="s">
        <v>26</v>
      </c>
      <c r="I52" s="2">
        <v>1</v>
      </c>
      <c r="J52" s="4" t="s">
        <v>21</v>
      </c>
      <c r="K52" s="2" t="s">
        <v>22</v>
      </c>
      <c r="L52" s="2">
        <v>28</v>
      </c>
      <c r="M52" t="str" cm="1">
        <f t="array" ref="M52">_xlfn.IFS(L52&lt;=35,"YOUNG_ADULTS",L52&lt;=55,"MIDDLE_AGED",L52&gt;55,"OLD-AGED")</f>
        <v>YOUNG_ADULTS</v>
      </c>
      <c r="O52" t="str" cm="1">
        <f t="array" ref="O52">_xlfn.IFS(D52&lt;=50000,"low income",D52&lt;=100000,"Mid income",D52&gt;100000,"High income")</f>
        <v>low income</v>
      </c>
      <c r="P52" t="str" cm="1">
        <f t="array" ref="P52">_xlfn.IFS(E52&lt;=2,"&lt;=2",E52&gt;2,"&gt;2")</f>
        <v>&lt;=2</v>
      </c>
    </row>
    <row r="53" spans="1:16">
      <c r="A53" s="2">
        <v>20619</v>
      </c>
      <c r="B53" s="2" t="s">
        <v>28</v>
      </c>
      <c r="C53" s="2" t="s">
        <v>16</v>
      </c>
      <c r="D53" s="6">
        <v>80000</v>
      </c>
      <c r="E53" s="2">
        <v>0</v>
      </c>
      <c r="F53" s="2" t="s">
        <v>18</v>
      </c>
      <c r="G53" s="2" t="s">
        <v>25</v>
      </c>
      <c r="H53" s="2" t="s">
        <v>26</v>
      </c>
      <c r="I53" s="2">
        <v>4</v>
      </c>
      <c r="J53" s="4" t="s">
        <v>36</v>
      </c>
      <c r="K53" s="2" t="s">
        <v>30</v>
      </c>
      <c r="L53" s="2">
        <v>35</v>
      </c>
      <c r="M53" t="str" cm="1">
        <f t="array" ref="M53">_xlfn.IFS(L53&lt;=35,"YOUNG_ADULTS",L53&lt;=55,"MIDDLE_AGED",L53&gt;55,"OLD-AGED")</f>
        <v>YOUNG_ADULTS</v>
      </c>
      <c r="O53" t="str" cm="1">
        <f t="array" ref="O53">_xlfn.IFS(D53&lt;=50000,"low income",D53&lt;=100000,"Mid income",D53&gt;100000,"High income")</f>
        <v>Mid income</v>
      </c>
      <c r="P53" t="str" cm="1">
        <f t="array" ref="P53">_xlfn.IFS(E53&lt;=2,"&lt;=2",E53&gt;2,"&gt;2")</f>
        <v>&lt;=2</v>
      </c>
    </row>
    <row r="54" spans="1:16">
      <c r="A54" s="2">
        <v>12558</v>
      </c>
      <c r="B54" s="2" t="s">
        <v>16</v>
      </c>
      <c r="C54" s="2" t="s">
        <v>17</v>
      </c>
      <c r="D54" s="6">
        <v>20000</v>
      </c>
      <c r="E54" s="2">
        <v>1</v>
      </c>
      <c r="F54" s="2" t="s">
        <v>18</v>
      </c>
      <c r="G54" s="2" t="s">
        <v>24</v>
      </c>
      <c r="H54" s="2" t="s">
        <v>20</v>
      </c>
      <c r="I54" s="2">
        <v>0</v>
      </c>
      <c r="J54" s="4" t="s">
        <v>21</v>
      </c>
      <c r="K54" s="2" t="s">
        <v>22</v>
      </c>
      <c r="L54" s="2">
        <v>65</v>
      </c>
      <c r="M54" t="str" cm="1">
        <f t="array" ref="M54">_xlfn.IFS(L54&lt;=35,"YOUNG_ADULTS",L54&lt;=55,"MIDDLE_AGED",L54&gt;55,"OLD-AGED")</f>
        <v>OLD-AGED</v>
      </c>
      <c r="O54" t="str" cm="1">
        <f t="array" ref="O54">_xlfn.IFS(D54&lt;=50000,"low income",D54&lt;=100000,"Mid income",D54&gt;100000,"High income")</f>
        <v>low income</v>
      </c>
      <c r="P54" t="str" cm="1">
        <f t="array" ref="P54">_xlfn.IFS(E54&lt;=2,"&lt;=2",E54&gt;2,"&gt;2")</f>
        <v>&lt;=2</v>
      </c>
    </row>
    <row r="55" spans="1:16">
      <c r="A55" s="2">
        <v>24871</v>
      </c>
      <c r="B55" s="2" t="s">
        <v>28</v>
      </c>
      <c r="C55" s="2" t="s">
        <v>17</v>
      </c>
      <c r="D55" s="6">
        <v>90000</v>
      </c>
      <c r="E55" s="2">
        <v>4</v>
      </c>
      <c r="F55" s="2" t="s">
        <v>33</v>
      </c>
      <c r="G55" s="2" t="s">
        <v>34</v>
      </c>
      <c r="H55" s="2" t="s">
        <v>26</v>
      </c>
      <c r="I55" s="2">
        <v>3</v>
      </c>
      <c r="J55" s="4" t="s">
        <v>29</v>
      </c>
      <c r="K55" s="2" t="s">
        <v>22</v>
      </c>
      <c r="L55" s="2">
        <v>56</v>
      </c>
      <c r="M55" t="str" cm="1">
        <f t="array" ref="M55">_xlfn.IFS(L55&lt;=35,"YOUNG_ADULTS",L55&lt;=55,"MIDDLE_AGED",L55&gt;55,"OLD-AGED")</f>
        <v>OLD-AGED</v>
      </c>
      <c r="O55" t="str" cm="1">
        <f t="array" ref="O55">_xlfn.IFS(D55&lt;=50000,"low income",D55&lt;=100000,"Mid income",D55&gt;100000,"High income")</f>
        <v>Mid income</v>
      </c>
      <c r="P55" t="str" cm="1">
        <f t="array" ref="P55">_xlfn.IFS(E55&lt;=2,"&lt;=2",E55&gt;2,"&gt;2")</f>
        <v>&gt;2</v>
      </c>
    </row>
    <row r="56" spans="1:16">
      <c r="A56" s="2">
        <v>17319</v>
      </c>
      <c r="B56" s="2" t="s">
        <v>28</v>
      </c>
      <c r="C56" s="2" t="s">
        <v>17</v>
      </c>
      <c r="D56" s="6">
        <v>70000</v>
      </c>
      <c r="E56" s="2">
        <v>0</v>
      </c>
      <c r="F56" s="2" t="s">
        <v>18</v>
      </c>
      <c r="G56" s="2" t="s">
        <v>25</v>
      </c>
      <c r="H56" s="2" t="s">
        <v>26</v>
      </c>
      <c r="I56" s="2">
        <v>1</v>
      </c>
      <c r="J56" s="4" t="s">
        <v>29</v>
      </c>
      <c r="K56" s="2" t="s">
        <v>30</v>
      </c>
      <c r="L56" s="2">
        <v>42</v>
      </c>
      <c r="M56" t="str" cm="1">
        <f t="array" ref="M56">_xlfn.IFS(L56&lt;=35,"YOUNG_ADULTS",L56&lt;=55,"MIDDLE_AGED",L56&gt;55,"OLD-AGED")</f>
        <v>MIDDLE_AGED</v>
      </c>
      <c r="O56" t="str" cm="1">
        <f t="array" ref="O56">_xlfn.IFS(D56&lt;=50000,"low income",D56&lt;=100000,"Mid income",D56&gt;100000,"High income")</f>
        <v>Mid income</v>
      </c>
      <c r="P56" t="str" cm="1">
        <f t="array" ref="P56">_xlfn.IFS(E56&lt;=2,"&lt;=2",E56&gt;2,"&gt;2")</f>
        <v>&lt;=2</v>
      </c>
    </row>
    <row r="57" spans="1:16">
      <c r="A57" s="2">
        <v>28906</v>
      </c>
      <c r="B57" s="2" t="s">
        <v>16</v>
      </c>
      <c r="C57" s="2" t="s">
        <v>16</v>
      </c>
      <c r="D57" s="6">
        <v>80000</v>
      </c>
      <c r="E57" s="2">
        <v>4</v>
      </c>
      <c r="F57" s="2" t="s">
        <v>33</v>
      </c>
      <c r="G57" s="2" t="s">
        <v>25</v>
      </c>
      <c r="H57" s="2" t="s">
        <v>20</v>
      </c>
      <c r="I57" s="2">
        <v>2</v>
      </c>
      <c r="J57" s="4" t="s">
        <v>36</v>
      </c>
      <c r="K57" s="2" t="s">
        <v>22</v>
      </c>
      <c r="L57" s="2">
        <v>54</v>
      </c>
      <c r="M57" t="str" cm="1">
        <f t="array" ref="M57">_xlfn.IFS(L57&lt;=35,"YOUNG_ADULTS",L57&lt;=55,"MIDDLE_AGED",L57&gt;55,"OLD-AGED")</f>
        <v>MIDDLE_AGED</v>
      </c>
      <c r="O57" t="str" cm="1">
        <f t="array" ref="O57">_xlfn.IFS(D57&lt;=50000,"low income",D57&lt;=100000,"Mid income",D57&gt;100000,"High income")</f>
        <v>Mid income</v>
      </c>
      <c r="P57" t="str" cm="1">
        <f t="array" ref="P57">_xlfn.IFS(E57&lt;=2,"&lt;=2",E57&gt;2,"&gt;2")</f>
        <v>&gt;2</v>
      </c>
    </row>
    <row r="58" spans="1:16">
      <c r="A58" s="2">
        <v>12808</v>
      </c>
      <c r="B58" s="2" t="s">
        <v>16</v>
      </c>
      <c r="C58" s="2" t="s">
        <v>16</v>
      </c>
      <c r="D58" s="6">
        <v>40000</v>
      </c>
      <c r="E58" s="2">
        <v>0</v>
      </c>
      <c r="F58" s="2" t="s">
        <v>18</v>
      </c>
      <c r="G58" s="2" t="s">
        <v>24</v>
      </c>
      <c r="H58" s="2" t="s">
        <v>20</v>
      </c>
      <c r="I58" s="2">
        <v>0</v>
      </c>
      <c r="J58" s="4" t="s">
        <v>21</v>
      </c>
      <c r="K58" s="2" t="s">
        <v>22</v>
      </c>
      <c r="L58" s="2">
        <v>38</v>
      </c>
      <c r="M58" t="str" cm="1">
        <f t="array" ref="M58">_xlfn.IFS(L58&lt;=35,"YOUNG_ADULTS",L58&lt;=55,"MIDDLE_AGED",L58&gt;55,"OLD-AGED")</f>
        <v>MIDDLE_AGED</v>
      </c>
      <c r="N58" s="2" t="s">
        <v>20</v>
      </c>
      <c r="O58" t="str" cm="1">
        <f t="array" ref="O58">_xlfn.IFS(D58&lt;=50000,"low income",D58&lt;=100000,"Mid income",D58&gt;100000,"High income")</f>
        <v>low income</v>
      </c>
      <c r="P58" t="str" cm="1">
        <f t="array" ref="P58">_xlfn.IFS(E58&lt;=2,"&lt;=2",E58&gt;2,"&gt;2")</f>
        <v>&lt;=2</v>
      </c>
    </row>
    <row r="59" spans="1:16">
      <c r="A59" s="2">
        <v>20567</v>
      </c>
      <c r="B59" s="2" t="s">
        <v>16</v>
      </c>
      <c r="C59" s="2" t="s">
        <v>16</v>
      </c>
      <c r="D59" s="6">
        <v>130000</v>
      </c>
      <c r="E59" s="2">
        <v>4</v>
      </c>
      <c r="F59" s="2" t="s">
        <v>23</v>
      </c>
      <c r="G59" s="2" t="s">
        <v>25</v>
      </c>
      <c r="H59" s="2" t="s">
        <v>26</v>
      </c>
      <c r="I59" s="2">
        <v>4</v>
      </c>
      <c r="J59" s="4" t="s">
        <v>29</v>
      </c>
      <c r="K59" s="2" t="s">
        <v>22</v>
      </c>
      <c r="L59" s="2">
        <v>61</v>
      </c>
      <c r="M59" t="str" cm="1">
        <f t="array" ref="M59">_xlfn.IFS(L59&lt;=35,"YOUNG_ADULTS",L59&lt;=55,"MIDDLE_AGED",L59&gt;55,"OLD-AGED")</f>
        <v>OLD-AGED</v>
      </c>
      <c r="N59" s="2" t="s">
        <v>20</v>
      </c>
      <c r="O59" t="str" cm="1">
        <f t="array" ref="O59">_xlfn.IFS(D59&lt;=50000,"low income",D59&lt;=100000,"Mid income",D59&gt;100000,"High income")</f>
        <v>High income</v>
      </c>
      <c r="P59" t="str" cm="1">
        <f t="array" ref="P59">_xlfn.IFS(E59&lt;=2,"&lt;=2",E59&gt;2,"&gt;2")</f>
        <v>&gt;2</v>
      </c>
    </row>
    <row r="60" spans="1:16">
      <c r="A60" s="2">
        <v>25502</v>
      </c>
      <c r="B60" s="2" t="s">
        <v>16</v>
      </c>
      <c r="C60" s="2" t="s">
        <v>17</v>
      </c>
      <c r="D60" s="6">
        <v>40000</v>
      </c>
      <c r="E60" s="2">
        <v>1</v>
      </c>
      <c r="F60" s="2" t="s">
        <v>18</v>
      </c>
      <c r="G60" s="2" t="s">
        <v>19</v>
      </c>
      <c r="H60" s="2" t="s">
        <v>20</v>
      </c>
      <c r="I60" s="2">
        <v>0</v>
      </c>
      <c r="J60" s="4" t="s">
        <v>21</v>
      </c>
      <c r="K60" s="2" t="s">
        <v>22</v>
      </c>
      <c r="L60" s="2">
        <v>43</v>
      </c>
      <c r="M60" t="str" cm="1">
        <f t="array" ref="M60">_xlfn.IFS(L60&lt;=35,"YOUNG_ADULTS",L60&lt;=55,"MIDDLE_AGED",L60&gt;55,"OLD-AGED")</f>
        <v>MIDDLE_AGED</v>
      </c>
      <c r="N60" s="2" t="s">
        <v>20</v>
      </c>
      <c r="O60" t="str" cm="1">
        <f t="array" ref="O60">_xlfn.IFS(D60&lt;=50000,"low income",D60&lt;=100000,"Mid income",D60&gt;100000,"High income")</f>
        <v>low income</v>
      </c>
      <c r="P60" t="str" cm="1">
        <f t="array" ref="P60">_xlfn.IFS(E60&lt;=2,"&lt;=2",E60&gt;2,"&gt;2")</f>
        <v>&lt;=2</v>
      </c>
    </row>
    <row r="61" spans="1:16">
      <c r="A61" s="2">
        <v>15580</v>
      </c>
      <c r="B61" s="2" t="s">
        <v>16</v>
      </c>
      <c r="C61" s="2" t="s">
        <v>16</v>
      </c>
      <c r="D61" s="6">
        <v>60000</v>
      </c>
      <c r="E61" s="2">
        <v>2</v>
      </c>
      <c r="F61" s="2" t="s">
        <v>18</v>
      </c>
      <c r="G61" s="2" t="s">
        <v>25</v>
      </c>
      <c r="H61" s="2" t="s">
        <v>20</v>
      </c>
      <c r="I61" s="2">
        <v>1</v>
      </c>
      <c r="J61" s="4" t="s">
        <v>27</v>
      </c>
      <c r="K61" s="2" t="s">
        <v>30</v>
      </c>
      <c r="L61" s="2">
        <v>38</v>
      </c>
      <c r="M61" t="str" cm="1">
        <f t="array" ref="M61">_xlfn.IFS(L61&lt;=35,"YOUNG_ADULTS",L61&lt;=55,"MIDDLE_AGED",L61&gt;55,"OLD-AGED")</f>
        <v>MIDDLE_AGED</v>
      </c>
      <c r="N61" s="2" t="s">
        <v>20</v>
      </c>
      <c r="O61" t="str" cm="1">
        <f t="array" ref="O61">_xlfn.IFS(D61&lt;=50000,"low income",D61&lt;=100000,"Mid income",D61&gt;100000,"High income")</f>
        <v>Mid income</v>
      </c>
      <c r="P61" t="str" cm="1">
        <f t="array" ref="P61">_xlfn.IFS(E61&lt;=2,"&lt;=2",E61&gt;2,"&gt;2")</f>
        <v>&lt;=2</v>
      </c>
    </row>
    <row r="62" spans="1:16">
      <c r="A62" s="2">
        <v>24185</v>
      </c>
      <c r="B62" s="2" t="s">
        <v>28</v>
      </c>
      <c r="C62" s="2" t="s">
        <v>17</v>
      </c>
      <c r="D62" s="6">
        <v>10000</v>
      </c>
      <c r="E62" s="2">
        <v>1</v>
      </c>
      <c r="F62" s="2" t="s">
        <v>33</v>
      </c>
      <c r="G62" s="2" t="s">
        <v>31</v>
      </c>
      <c r="H62" s="2" t="s">
        <v>26</v>
      </c>
      <c r="I62" s="2">
        <v>1</v>
      </c>
      <c r="J62" s="4" t="s">
        <v>32</v>
      </c>
      <c r="K62" s="2" t="s">
        <v>22</v>
      </c>
      <c r="L62" s="2">
        <v>45</v>
      </c>
      <c r="M62" t="str" cm="1">
        <f t="array" ref="M62">_xlfn.IFS(L62&lt;=35,"YOUNG_ADULTS",L62&lt;=55,"MIDDLE_AGED",L62&gt;55,"OLD-AGED")</f>
        <v>MIDDLE_AGED</v>
      </c>
      <c r="O62" t="str" cm="1">
        <f t="array" ref="O62">_xlfn.IFS(D62&lt;=50000,"low income",D62&lt;=100000,"Mid income",D62&gt;100000,"High income")</f>
        <v>low income</v>
      </c>
      <c r="P62" t="str" cm="1">
        <f t="array" ref="P62">_xlfn.IFS(E62&lt;=2,"&lt;=2",E62&gt;2,"&gt;2")</f>
        <v>&lt;=2</v>
      </c>
    </row>
    <row r="63" spans="1:16">
      <c r="A63" s="2">
        <v>19291</v>
      </c>
      <c r="B63" s="2" t="s">
        <v>28</v>
      </c>
      <c r="C63" s="2" t="s">
        <v>17</v>
      </c>
      <c r="D63" s="6">
        <v>10000</v>
      </c>
      <c r="E63" s="2">
        <v>2</v>
      </c>
      <c r="F63" s="2" t="s">
        <v>33</v>
      </c>
      <c r="G63" s="2" t="s">
        <v>31</v>
      </c>
      <c r="H63" s="2" t="s">
        <v>20</v>
      </c>
      <c r="I63" s="2">
        <v>0</v>
      </c>
      <c r="J63" s="4" t="s">
        <v>21</v>
      </c>
      <c r="K63" s="2" t="s">
        <v>22</v>
      </c>
      <c r="L63" s="2">
        <v>35</v>
      </c>
      <c r="M63" t="str" cm="1">
        <f t="array" ref="M63">_xlfn.IFS(L63&lt;=35,"YOUNG_ADULTS",L63&lt;=55,"MIDDLE_AGED",L63&gt;55,"OLD-AGED")</f>
        <v>YOUNG_ADULTS</v>
      </c>
      <c r="O63" t="str" cm="1">
        <f t="array" ref="O63">_xlfn.IFS(D63&lt;=50000,"low income",D63&lt;=100000,"Mid income",D63&gt;100000,"High income")</f>
        <v>low income</v>
      </c>
      <c r="P63" t="str" cm="1">
        <f t="array" ref="P63">_xlfn.IFS(E63&lt;=2,"&lt;=2",E63&gt;2,"&gt;2")</f>
        <v>&lt;=2</v>
      </c>
    </row>
    <row r="64" spans="1:16">
      <c r="A64" s="2">
        <v>16713</v>
      </c>
      <c r="B64" s="2" t="s">
        <v>16</v>
      </c>
      <c r="C64" s="2" t="s">
        <v>16</v>
      </c>
      <c r="D64" s="6">
        <v>40000</v>
      </c>
      <c r="E64" s="2">
        <v>2</v>
      </c>
      <c r="F64" s="2" t="s">
        <v>18</v>
      </c>
      <c r="G64" s="2" t="s">
        <v>34</v>
      </c>
      <c r="H64" s="2" t="s">
        <v>20</v>
      </c>
      <c r="I64" s="2">
        <v>1</v>
      </c>
      <c r="J64" s="4" t="s">
        <v>21</v>
      </c>
      <c r="K64" s="2" t="s">
        <v>30</v>
      </c>
      <c r="L64" s="2">
        <v>52</v>
      </c>
      <c r="M64" t="str" cm="1">
        <f t="array" ref="M64">_xlfn.IFS(L64&lt;=35,"YOUNG_ADULTS",L64&lt;=55,"MIDDLE_AGED",L64&gt;55,"OLD-AGED")</f>
        <v>MIDDLE_AGED</v>
      </c>
      <c r="N64" s="2" t="s">
        <v>20</v>
      </c>
      <c r="O64" t="str" cm="1">
        <f t="array" ref="O64">_xlfn.IFS(D64&lt;=50000,"low income",D64&lt;=100000,"Mid income",D64&gt;100000,"High income")</f>
        <v>low income</v>
      </c>
      <c r="P64" t="str" cm="1">
        <f t="array" ref="P64">_xlfn.IFS(E64&lt;=2,"&lt;=2",E64&gt;2,"&gt;2")</f>
        <v>&lt;=2</v>
      </c>
    </row>
    <row r="65" spans="1:16">
      <c r="A65" s="2">
        <v>16185</v>
      </c>
      <c r="B65" s="2" t="s">
        <v>28</v>
      </c>
      <c r="C65" s="2" t="s">
        <v>16</v>
      </c>
      <c r="D65" s="6">
        <v>60000</v>
      </c>
      <c r="E65" s="2">
        <v>4</v>
      </c>
      <c r="F65" s="2" t="s">
        <v>18</v>
      </c>
      <c r="G65" s="2" t="s">
        <v>25</v>
      </c>
      <c r="H65" s="2" t="s">
        <v>20</v>
      </c>
      <c r="I65" s="2">
        <v>3</v>
      </c>
      <c r="J65" s="4" t="s">
        <v>36</v>
      </c>
      <c r="K65" s="2" t="s">
        <v>30</v>
      </c>
      <c r="L65" s="2">
        <v>41</v>
      </c>
      <c r="M65" t="str" cm="1">
        <f t="array" ref="M65">_xlfn.IFS(L65&lt;=35,"YOUNG_ADULTS",L65&lt;=55,"MIDDLE_AGED",L65&gt;55,"OLD-AGED")</f>
        <v>MIDDLE_AGED</v>
      </c>
      <c r="O65" t="str" cm="1">
        <f t="array" ref="O65">_xlfn.IFS(D65&lt;=50000,"low income",D65&lt;=100000,"Mid income",D65&gt;100000,"High income")</f>
        <v>Mid income</v>
      </c>
      <c r="P65" t="str" cm="1">
        <f t="array" ref="P65">_xlfn.IFS(E65&lt;=2,"&lt;=2",E65&gt;2,"&gt;2")</f>
        <v>&gt;2</v>
      </c>
    </row>
    <row r="66" spans="1:16">
      <c r="A66" s="2">
        <v>14927</v>
      </c>
      <c r="B66" s="2" t="s">
        <v>16</v>
      </c>
      <c r="C66" s="2" t="s">
        <v>17</v>
      </c>
      <c r="D66" s="6">
        <v>30000</v>
      </c>
      <c r="E66" s="2">
        <v>1</v>
      </c>
      <c r="F66" s="2" t="s">
        <v>18</v>
      </c>
      <c r="G66" s="2" t="s">
        <v>24</v>
      </c>
      <c r="H66" s="2" t="s">
        <v>20</v>
      </c>
      <c r="I66" s="2">
        <v>0</v>
      </c>
      <c r="J66" s="4" t="s">
        <v>21</v>
      </c>
      <c r="K66" s="2" t="s">
        <v>22</v>
      </c>
      <c r="L66" s="2">
        <v>37</v>
      </c>
      <c r="M66" t="str" cm="1">
        <f t="array" ref="M66">_xlfn.IFS(L66&lt;=35,"YOUNG_ADULTS",L66&lt;=55,"MIDDLE_AGED",L66&gt;55,"OLD-AGED")</f>
        <v>MIDDLE_AGED</v>
      </c>
      <c r="N66" s="2" t="s">
        <v>20</v>
      </c>
      <c r="O66" t="str" cm="1">
        <f t="array" ref="O66">_xlfn.IFS(D66&lt;=50000,"low income",D66&lt;=100000,"Mid income",D66&gt;100000,"High income")</f>
        <v>low income</v>
      </c>
      <c r="P66" t="str" cm="1">
        <f t="array" ref="P66">_xlfn.IFS(E66&lt;=2,"&lt;=2",E66&gt;2,"&gt;2")</f>
        <v>&lt;=2</v>
      </c>
    </row>
    <row r="67" spans="1:16">
      <c r="A67" s="2">
        <v>29337</v>
      </c>
      <c r="B67" s="2" t="s">
        <v>28</v>
      </c>
      <c r="C67" s="2" t="s">
        <v>16</v>
      </c>
      <c r="D67" s="6">
        <v>30000</v>
      </c>
      <c r="E67" s="2">
        <v>2</v>
      </c>
      <c r="F67" s="2" t="s">
        <v>23</v>
      </c>
      <c r="G67" s="2" t="s">
        <v>24</v>
      </c>
      <c r="H67" s="2" t="s">
        <v>20</v>
      </c>
      <c r="I67" s="2">
        <v>2</v>
      </c>
      <c r="J67" s="4" t="s">
        <v>29</v>
      </c>
      <c r="K67" s="2" t="s">
        <v>30</v>
      </c>
      <c r="L67" s="2">
        <v>68</v>
      </c>
      <c r="M67" t="str" cm="1">
        <f t="array" ref="M67">_xlfn.IFS(L67&lt;=35,"YOUNG_ADULTS",L67&lt;=55,"MIDDLE_AGED",L67&gt;55,"OLD-AGED")</f>
        <v>OLD-AGED</v>
      </c>
      <c r="O67" t="str" cm="1">
        <f t="array" ref="O67">_xlfn.IFS(D67&lt;=50000,"low income",D67&lt;=100000,"Mid income",D67&gt;100000,"High income")</f>
        <v>low income</v>
      </c>
      <c r="P67" t="str" cm="1">
        <f t="array" ref="P67">_xlfn.IFS(E67&lt;=2,"&lt;=2",E67&gt;2,"&gt;2")</f>
        <v>&lt;=2</v>
      </c>
    </row>
    <row r="68" spans="1:16">
      <c r="A68" s="2">
        <v>29355</v>
      </c>
      <c r="B68" s="2" t="s">
        <v>16</v>
      </c>
      <c r="C68" s="2" t="s">
        <v>17</v>
      </c>
      <c r="D68" s="6">
        <v>40000</v>
      </c>
      <c r="E68" s="2">
        <v>0</v>
      </c>
      <c r="F68" s="2" t="s">
        <v>37</v>
      </c>
      <c r="G68" s="2" t="s">
        <v>24</v>
      </c>
      <c r="H68" s="2" t="s">
        <v>20</v>
      </c>
      <c r="I68" s="2">
        <v>0</v>
      </c>
      <c r="J68" s="4" t="s">
        <v>21</v>
      </c>
      <c r="K68" s="2" t="s">
        <v>22</v>
      </c>
      <c r="L68" s="2">
        <v>37</v>
      </c>
      <c r="M68" t="str" cm="1">
        <f t="array" ref="M68">_xlfn.IFS(L68&lt;=35,"YOUNG_ADULTS",L68&lt;=55,"MIDDLE_AGED",L68&gt;55,"OLD-AGED")</f>
        <v>MIDDLE_AGED</v>
      </c>
      <c r="N68" s="2" t="s">
        <v>20</v>
      </c>
      <c r="O68" t="str" cm="1">
        <f t="array" ref="O68">_xlfn.IFS(D68&lt;=50000,"low income",D68&lt;=100000,"Mid income",D68&gt;100000,"High income")</f>
        <v>low income</v>
      </c>
      <c r="P68" t="str" cm="1">
        <f t="array" ref="P68">_xlfn.IFS(E68&lt;=2,"&lt;=2",E68&gt;2,"&gt;2")</f>
        <v>&lt;=2</v>
      </c>
    </row>
    <row r="69" spans="1:16">
      <c r="A69" s="2">
        <v>25303</v>
      </c>
      <c r="B69" s="2" t="s">
        <v>28</v>
      </c>
      <c r="C69" s="2" t="s">
        <v>16</v>
      </c>
      <c r="D69" s="6">
        <v>30000</v>
      </c>
      <c r="E69" s="2">
        <v>0</v>
      </c>
      <c r="F69" s="2" t="s">
        <v>33</v>
      </c>
      <c r="G69" s="2" t="s">
        <v>31</v>
      </c>
      <c r="H69" s="2" t="s">
        <v>20</v>
      </c>
      <c r="I69" s="2">
        <v>1</v>
      </c>
      <c r="J69" s="4" t="s">
        <v>27</v>
      </c>
      <c r="K69" s="2" t="s">
        <v>22</v>
      </c>
      <c r="L69" s="2">
        <v>33</v>
      </c>
      <c r="M69" t="str" cm="1">
        <f t="array" ref="M69">_xlfn.IFS(L69&lt;=35,"YOUNG_ADULTS",L69&lt;=55,"MIDDLE_AGED",L69&gt;55,"OLD-AGED")</f>
        <v>YOUNG_ADULTS</v>
      </c>
      <c r="N69" s="2" t="s">
        <v>20</v>
      </c>
      <c r="O69" t="str" cm="1">
        <f t="array" ref="O69">_xlfn.IFS(D69&lt;=50000,"low income",D69&lt;=100000,"Mid income",D69&gt;100000,"High income")</f>
        <v>low income</v>
      </c>
      <c r="P69" t="str" cm="1">
        <f t="array" ref="P69">_xlfn.IFS(E69&lt;=2,"&lt;=2",E69&gt;2,"&gt;2")</f>
        <v>&lt;=2</v>
      </c>
    </row>
    <row r="70" spans="1:16">
      <c r="A70" s="2">
        <v>14813</v>
      </c>
      <c r="B70" s="2" t="s">
        <v>28</v>
      </c>
      <c r="C70" s="2" t="s">
        <v>17</v>
      </c>
      <c r="D70" s="6">
        <v>20000</v>
      </c>
      <c r="E70" s="2">
        <v>4</v>
      </c>
      <c r="F70" s="2" t="s">
        <v>33</v>
      </c>
      <c r="G70" s="2" t="s">
        <v>31</v>
      </c>
      <c r="H70" s="2" t="s">
        <v>20</v>
      </c>
      <c r="I70" s="2">
        <v>1</v>
      </c>
      <c r="J70" s="4" t="s">
        <v>21</v>
      </c>
      <c r="K70" s="2" t="s">
        <v>22</v>
      </c>
      <c r="L70" s="2">
        <v>43</v>
      </c>
      <c r="M70" t="str" cm="1">
        <f t="array" ref="M70">_xlfn.IFS(L70&lt;=35,"YOUNG_ADULTS",L70&lt;=55,"MIDDLE_AGED",L70&gt;55,"OLD-AGED")</f>
        <v>MIDDLE_AGED</v>
      </c>
      <c r="N70" s="2" t="s">
        <v>20</v>
      </c>
      <c r="O70" t="str" cm="1">
        <f t="array" ref="O70">_xlfn.IFS(D70&lt;=50000,"low income",D70&lt;=100000,"Mid income",D70&gt;100000,"High income")</f>
        <v>low income</v>
      </c>
      <c r="P70" t="str" cm="1">
        <f t="array" ref="P70">_xlfn.IFS(E70&lt;=2,"&lt;=2",E70&gt;2,"&gt;2")</f>
        <v>&gt;2</v>
      </c>
    </row>
    <row r="71" spans="1:16">
      <c r="A71" s="2">
        <v>16438</v>
      </c>
      <c r="B71" s="2" t="s">
        <v>16</v>
      </c>
      <c r="C71" s="2" t="s">
        <v>17</v>
      </c>
      <c r="D71" s="6">
        <v>10000</v>
      </c>
      <c r="E71" s="2">
        <v>0</v>
      </c>
      <c r="F71" s="2" t="s">
        <v>35</v>
      </c>
      <c r="G71" s="2" t="s">
        <v>31</v>
      </c>
      <c r="H71" s="2" t="s">
        <v>26</v>
      </c>
      <c r="I71" s="2">
        <v>2</v>
      </c>
      <c r="J71" s="4" t="s">
        <v>21</v>
      </c>
      <c r="K71" s="2" t="s">
        <v>22</v>
      </c>
      <c r="L71" s="2">
        <v>30</v>
      </c>
      <c r="M71" t="str" cm="1">
        <f t="array" ref="M71">_xlfn.IFS(L71&lt;=35,"YOUNG_ADULTS",L71&lt;=55,"MIDDLE_AGED",L71&gt;55,"OLD-AGED")</f>
        <v>YOUNG_ADULTS</v>
      </c>
      <c r="O71" t="str" cm="1">
        <f t="array" ref="O71">_xlfn.IFS(D71&lt;=50000,"low income",D71&lt;=100000,"Mid income",D71&gt;100000,"High income")</f>
        <v>low income</v>
      </c>
      <c r="P71" t="str" cm="1">
        <f t="array" ref="P71">_xlfn.IFS(E71&lt;=2,"&lt;=2",E71&gt;2,"&gt;2")</f>
        <v>&lt;=2</v>
      </c>
    </row>
    <row r="72" spans="1:16">
      <c r="A72" s="2">
        <v>14238</v>
      </c>
      <c r="B72" s="2" t="s">
        <v>16</v>
      </c>
      <c r="C72" s="2" t="s">
        <v>16</v>
      </c>
      <c r="D72" s="6">
        <v>120000</v>
      </c>
      <c r="E72" s="2">
        <v>0</v>
      </c>
      <c r="F72" s="2" t="s">
        <v>35</v>
      </c>
      <c r="G72" s="2" t="s">
        <v>25</v>
      </c>
      <c r="H72" s="2" t="s">
        <v>20</v>
      </c>
      <c r="I72" s="2">
        <v>4</v>
      </c>
      <c r="J72" s="4" t="s">
        <v>36</v>
      </c>
      <c r="K72" s="2" t="s">
        <v>30</v>
      </c>
      <c r="L72" s="2">
        <v>36</v>
      </c>
      <c r="M72" t="str" cm="1">
        <f t="array" ref="M72">_xlfn.IFS(L72&lt;=35,"YOUNG_ADULTS",L72&lt;=55,"MIDDLE_AGED",L72&gt;55,"OLD-AGED")</f>
        <v>MIDDLE_AGED</v>
      </c>
      <c r="N72" s="2" t="s">
        <v>20</v>
      </c>
      <c r="O72" t="str" cm="1">
        <f t="array" ref="O72">_xlfn.IFS(D72&lt;=50000,"low income",D72&lt;=100000,"Mid income",D72&gt;100000,"High income")</f>
        <v>High income</v>
      </c>
      <c r="P72" t="str" cm="1">
        <f t="array" ref="P72">_xlfn.IFS(E72&lt;=2,"&lt;=2",E72&gt;2,"&gt;2")</f>
        <v>&lt;=2</v>
      </c>
    </row>
    <row r="73" spans="1:16">
      <c r="A73" s="2">
        <v>16200</v>
      </c>
      <c r="B73" s="2" t="s">
        <v>28</v>
      </c>
      <c r="C73" s="2" t="s">
        <v>17</v>
      </c>
      <c r="D73" s="6">
        <v>10000</v>
      </c>
      <c r="E73" s="2">
        <v>0</v>
      </c>
      <c r="F73" s="2" t="s">
        <v>35</v>
      </c>
      <c r="G73" s="2" t="s">
        <v>31</v>
      </c>
      <c r="H73" s="2" t="s">
        <v>26</v>
      </c>
      <c r="I73" s="2">
        <v>2</v>
      </c>
      <c r="J73" s="4" t="s">
        <v>21</v>
      </c>
      <c r="K73" s="2" t="s">
        <v>22</v>
      </c>
      <c r="L73" s="2">
        <v>35</v>
      </c>
      <c r="M73" t="str" cm="1">
        <f t="array" ref="M73">_xlfn.IFS(L73&lt;=35,"YOUNG_ADULTS",L73&lt;=55,"MIDDLE_AGED",L73&gt;55,"OLD-AGED")</f>
        <v>YOUNG_ADULTS</v>
      </c>
      <c r="O73" t="str" cm="1">
        <f t="array" ref="O73">_xlfn.IFS(D73&lt;=50000,"low income",D73&lt;=100000,"Mid income",D73&gt;100000,"High income")</f>
        <v>low income</v>
      </c>
      <c r="P73" t="str" cm="1">
        <f t="array" ref="P73">_xlfn.IFS(E73&lt;=2,"&lt;=2",E73&gt;2,"&gt;2")</f>
        <v>&lt;=2</v>
      </c>
    </row>
    <row r="74" spans="1:16">
      <c r="A74" s="2">
        <v>24857</v>
      </c>
      <c r="B74" s="2" t="s">
        <v>16</v>
      </c>
      <c r="C74" s="2" t="s">
        <v>17</v>
      </c>
      <c r="D74" s="6">
        <v>130000</v>
      </c>
      <c r="E74" s="2">
        <v>3</v>
      </c>
      <c r="F74" s="2" t="s">
        <v>33</v>
      </c>
      <c r="G74" s="2" t="s">
        <v>25</v>
      </c>
      <c r="H74" s="2" t="s">
        <v>20</v>
      </c>
      <c r="I74" s="2">
        <v>4</v>
      </c>
      <c r="J74" s="4" t="s">
        <v>21</v>
      </c>
      <c r="K74" s="2" t="s">
        <v>22</v>
      </c>
      <c r="L74" s="2">
        <v>52</v>
      </c>
      <c r="M74" t="str" cm="1">
        <f t="array" ref="M74">_xlfn.IFS(L74&lt;=35,"YOUNG_ADULTS",L74&lt;=55,"MIDDLE_AGED",L74&gt;55,"OLD-AGED")</f>
        <v>MIDDLE_AGED</v>
      </c>
      <c r="O74" t="str" cm="1">
        <f t="array" ref="O74">_xlfn.IFS(D74&lt;=50000,"low income",D74&lt;=100000,"Mid income",D74&gt;100000,"High income")</f>
        <v>High income</v>
      </c>
      <c r="P74" t="str" cm="1">
        <f t="array" ref="P74">_xlfn.IFS(E74&lt;=2,"&lt;=2",E74&gt;2,"&gt;2")</f>
        <v>&gt;2</v>
      </c>
    </row>
    <row r="75" spans="1:16">
      <c r="A75" s="2">
        <v>26956</v>
      </c>
      <c r="B75" s="2" t="s">
        <v>28</v>
      </c>
      <c r="C75" s="2" t="s">
        <v>17</v>
      </c>
      <c r="D75" s="6">
        <v>20000</v>
      </c>
      <c r="E75" s="2">
        <v>0</v>
      </c>
      <c r="F75" s="2" t="s">
        <v>23</v>
      </c>
      <c r="G75" s="2" t="s">
        <v>31</v>
      </c>
      <c r="H75" s="2" t="s">
        <v>26</v>
      </c>
      <c r="I75" s="2">
        <v>1</v>
      </c>
      <c r="J75" s="4" t="s">
        <v>27</v>
      </c>
      <c r="K75" s="2" t="s">
        <v>22</v>
      </c>
      <c r="L75" s="2">
        <v>36</v>
      </c>
      <c r="M75" t="str" cm="1">
        <f t="array" ref="M75">_xlfn.IFS(L75&lt;=35,"YOUNG_ADULTS",L75&lt;=55,"MIDDLE_AGED",L75&gt;55,"OLD-AGED")</f>
        <v>MIDDLE_AGED</v>
      </c>
      <c r="N75" s="2" t="s">
        <v>20</v>
      </c>
      <c r="O75" t="str" cm="1">
        <f t="array" ref="O75">_xlfn.IFS(D75&lt;=50000,"low income",D75&lt;=100000,"Mid income",D75&gt;100000,"High income")</f>
        <v>low income</v>
      </c>
      <c r="P75" t="str" cm="1">
        <f t="array" ref="P75">_xlfn.IFS(E75&lt;=2,"&lt;=2",E75&gt;2,"&gt;2")</f>
        <v>&lt;=2</v>
      </c>
    </row>
    <row r="76" spans="1:16">
      <c r="A76" s="2">
        <v>14517</v>
      </c>
      <c r="B76" s="2" t="s">
        <v>16</v>
      </c>
      <c r="C76" s="2" t="s">
        <v>17</v>
      </c>
      <c r="D76" s="6">
        <v>20000</v>
      </c>
      <c r="E76" s="2">
        <v>3</v>
      </c>
      <c r="F76" s="2" t="s">
        <v>33</v>
      </c>
      <c r="G76" s="2" t="s">
        <v>19</v>
      </c>
      <c r="H76" s="2" t="s">
        <v>26</v>
      </c>
      <c r="I76" s="2">
        <v>2</v>
      </c>
      <c r="J76" s="4" t="s">
        <v>32</v>
      </c>
      <c r="K76" s="2" t="s">
        <v>30</v>
      </c>
      <c r="L76" s="2">
        <v>62</v>
      </c>
      <c r="M76" t="str" cm="1">
        <f t="array" ref="M76">_xlfn.IFS(L76&lt;=35,"YOUNG_ADULTS",L76&lt;=55,"MIDDLE_AGED",L76&gt;55,"OLD-AGED")</f>
        <v>OLD-AGED</v>
      </c>
      <c r="O76" t="str" cm="1">
        <f t="array" ref="O76">_xlfn.IFS(D76&lt;=50000,"low income",D76&lt;=100000,"Mid income",D76&gt;100000,"High income")</f>
        <v>low income</v>
      </c>
      <c r="P76" t="str" cm="1">
        <f t="array" ref="P76">_xlfn.IFS(E76&lt;=2,"&lt;=2",E76&gt;2,"&gt;2")</f>
        <v>&gt;2</v>
      </c>
    </row>
    <row r="77" spans="1:16">
      <c r="A77" s="2">
        <v>12678</v>
      </c>
      <c r="B77" s="2" t="s">
        <v>28</v>
      </c>
      <c r="C77" s="2" t="s">
        <v>17</v>
      </c>
      <c r="D77" s="6">
        <v>130000</v>
      </c>
      <c r="E77" s="2">
        <v>4</v>
      </c>
      <c r="F77" s="2" t="s">
        <v>33</v>
      </c>
      <c r="G77" s="2" t="s">
        <v>34</v>
      </c>
      <c r="H77" s="2" t="s">
        <v>20</v>
      </c>
      <c r="I77" s="2">
        <v>4</v>
      </c>
      <c r="J77" s="4" t="s">
        <v>21</v>
      </c>
      <c r="K77" s="2" t="s">
        <v>30</v>
      </c>
      <c r="L77" s="2">
        <v>31</v>
      </c>
      <c r="M77" t="str" cm="1">
        <f t="array" ref="M77">_xlfn.IFS(L77&lt;=35,"YOUNG_ADULTS",L77&lt;=55,"MIDDLE_AGED",L77&gt;55,"OLD-AGED")</f>
        <v>YOUNG_ADULTS</v>
      </c>
      <c r="O77" t="str" cm="1">
        <f t="array" ref="O77">_xlfn.IFS(D77&lt;=50000,"low income",D77&lt;=100000,"Mid income",D77&gt;100000,"High income")</f>
        <v>High income</v>
      </c>
      <c r="P77" t="str" cm="1">
        <f t="array" ref="P77">_xlfn.IFS(E77&lt;=2,"&lt;=2",E77&gt;2,"&gt;2")</f>
        <v>&gt;2</v>
      </c>
    </row>
    <row r="78" spans="1:16">
      <c r="A78" s="2">
        <v>16188</v>
      </c>
      <c r="B78" s="2" t="s">
        <v>28</v>
      </c>
      <c r="C78" s="2" t="s">
        <v>17</v>
      </c>
      <c r="D78" s="6">
        <v>20000</v>
      </c>
      <c r="E78" s="2">
        <v>0</v>
      </c>
      <c r="F78" s="2" t="s">
        <v>35</v>
      </c>
      <c r="G78" s="2" t="s">
        <v>31</v>
      </c>
      <c r="H78" s="2" t="s">
        <v>26</v>
      </c>
      <c r="I78" s="2">
        <v>2</v>
      </c>
      <c r="J78" s="4" t="s">
        <v>32</v>
      </c>
      <c r="K78" s="2" t="s">
        <v>22</v>
      </c>
      <c r="L78" s="2">
        <v>26</v>
      </c>
      <c r="M78" t="str" cm="1">
        <f t="array" ref="M78">_xlfn.IFS(L78&lt;=35,"YOUNG_ADULTS",L78&lt;=55,"MIDDLE_AGED",L78&gt;55,"OLD-AGED")</f>
        <v>YOUNG_ADULTS</v>
      </c>
      <c r="O78" t="str" cm="1">
        <f t="array" ref="O78">_xlfn.IFS(D78&lt;=50000,"low income",D78&lt;=100000,"Mid income",D78&gt;100000,"High income")</f>
        <v>low income</v>
      </c>
      <c r="P78" t="str" cm="1">
        <f t="array" ref="P78">_xlfn.IFS(E78&lt;=2,"&lt;=2",E78&gt;2,"&gt;2")</f>
        <v>&lt;=2</v>
      </c>
    </row>
    <row r="79" spans="1:16">
      <c r="A79" s="2">
        <v>27969</v>
      </c>
      <c r="B79" s="2" t="s">
        <v>16</v>
      </c>
      <c r="C79" s="2" t="s">
        <v>16</v>
      </c>
      <c r="D79" s="6">
        <v>80000</v>
      </c>
      <c r="E79" s="2">
        <v>0</v>
      </c>
      <c r="F79" s="2" t="s">
        <v>18</v>
      </c>
      <c r="G79" s="2" t="s">
        <v>25</v>
      </c>
      <c r="H79" s="2" t="s">
        <v>20</v>
      </c>
      <c r="I79" s="2">
        <v>2</v>
      </c>
      <c r="J79" s="4" t="s">
        <v>36</v>
      </c>
      <c r="K79" s="2" t="s">
        <v>30</v>
      </c>
      <c r="L79" s="2">
        <v>29</v>
      </c>
      <c r="M79" t="str" cm="1">
        <f t="array" ref="M79">_xlfn.IFS(L79&lt;=35,"YOUNG_ADULTS",L79&lt;=55,"MIDDLE_AGED",L79&gt;55,"OLD-AGED")</f>
        <v>YOUNG_ADULTS</v>
      </c>
      <c r="N79" s="2" t="s">
        <v>20</v>
      </c>
      <c r="O79" t="str" cm="1">
        <f t="array" ref="O79">_xlfn.IFS(D79&lt;=50000,"low income",D79&lt;=100000,"Mid income",D79&gt;100000,"High income")</f>
        <v>Mid income</v>
      </c>
      <c r="P79" t="str" cm="1">
        <f t="array" ref="P79">_xlfn.IFS(E79&lt;=2,"&lt;=2",E79&gt;2,"&gt;2")</f>
        <v>&lt;=2</v>
      </c>
    </row>
    <row r="80" spans="1:16">
      <c r="A80" s="2">
        <v>15752</v>
      </c>
      <c r="B80" s="2" t="s">
        <v>16</v>
      </c>
      <c r="C80" s="2" t="s">
        <v>16</v>
      </c>
      <c r="D80" s="6">
        <v>80000</v>
      </c>
      <c r="E80" s="2">
        <v>2</v>
      </c>
      <c r="F80" s="2" t="s">
        <v>33</v>
      </c>
      <c r="G80" s="2" t="s">
        <v>19</v>
      </c>
      <c r="H80" s="2" t="s">
        <v>26</v>
      </c>
      <c r="I80" s="2">
        <v>2</v>
      </c>
      <c r="J80" s="4" t="s">
        <v>32</v>
      </c>
      <c r="K80" s="2" t="s">
        <v>30</v>
      </c>
      <c r="L80" s="2">
        <v>50</v>
      </c>
      <c r="M80" t="str" cm="1">
        <f t="array" ref="M80">_xlfn.IFS(L80&lt;=35,"YOUNG_ADULTS",L80&lt;=55,"MIDDLE_AGED",L80&gt;55,"OLD-AGED")</f>
        <v>MIDDLE_AGED</v>
      </c>
      <c r="N80" s="2" t="s">
        <v>20</v>
      </c>
      <c r="O80" t="str" cm="1">
        <f t="array" ref="O80">_xlfn.IFS(D80&lt;=50000,"low income",D80&lt;=100000,"Mid income",D80&gt;100000,"High income")</f>
        <v>Mid income</v>
      </c>
      <c r="P80" t="str" cm="1">
        <f t="array" ref="P80">_xlfn.IFS(E80&lt;=2,"&lt;=2",E80&gt;2,"&gt;2")</f>
        <v>&lt;=2</v>
      </c>
    </row>
    <row r="81" spans="1:16">
      <c r="A81" s="2">
        <v>27745</v>
      </c>
      <c r="B81" s="2" t="s">
        <v>28</v>
      </c>
      <c r="C81" s="2" t="s">
        <v>16</v>
      </c>
      <c r="D81" s="6">
        <v>40000</v>
      </c>
      <c r="E81" s="2">
        <v>2</v>
      </c>
      <c r="F81" s="2" t="s">
        <v>18</v>
      </c>
      <c r="G81" s="2" t="s">
        <v>34</v>
      </c>
      <c r="H81" s="2" t="s">
        <v>20</v>
      </c>
      <c r="I81" s="2">
        <v>2</v>
      </c>
      <c r="J81" s="4" t="s">
        <v>29</v>
      </c>
      <c r="K81" s="2" t="s">
        <v>30</v>
      </c>
      <c r="L81" s="2">
        <v>63</v>
      </c>
      <c r="M81" t="str" cm="1">
        <f t="array" ref="M81">_xlfn.IFS(L81&lt;=35,"YOUNG_ADULTS",L81&lt;=55,"MIDDLE_AGED",L81&gt;55,"OLD-AGED")</f>
        <v>OLD-AGED</v>
      </c>
      <c r="N81" s="2" t="s">
        <v>20</v>
      </c>
      <c r="O81" t="str" cm="1">
        <f t="array" ref="O81">_xlfn.IFS(D81&lt;=50000,"low income",D81&lt;=100000,"Mid income",D81&gt;100000,"High income")</f>
        <v>low income</v>
      </c>
      <c r="P81" t="str" cm="1">
        <f t="array" ref="P81">_xlfn.IFS(E81&lt;=2,"&lt;=2",E81&gt;2,"&gt;2")</f>
        <v>&lt;=2</v>
      </c>
    </row>
    <row r="82" spans="1:16">
      <c r="A82" s="2">
        <v>20828</v>
      </c>
      <c r="B82" s="2" t="s">
        <v>16</v>
      </c>
      <c r="C82" s="2" t="s">
        <v>17</v>
      </c>
      <c r="D82" s="6">
        <v>30000</v>
      </c>
      <c r="E82" s="2">
        <v>4</v>
      </c>
      <c r="F82" s="2" t="s">
        <v>37</v>
      </c>
      <c r="G82" s="2" t="s">
        <v>24</v>
      </c>
      <c r="H82" s="2" t="s">
        <v>20</v>
      </c>
      <c r="I82" s="2">
        <v>0</v>
      </c>
      <c r="J82" s="4" t="s">
        <v>21</v>
      </c>
      <c r="K82" s="2" t="s">
        <v>22</v>
      </c>
      <c r="L82" s="2">
        <v>45</v>
      </c>
      <c r="M82" t="str" cm="1">
        <f t="array" ref="M82">_xlfn.IFS(L82&lt;=35,"YOUNG_ADULTS",L82&lt;=55,"MIDDLE_AGED",L82&gt;55,"OLD-AGED")</f>
        <v>MIDDLE_AGED</v>
      </c>
      <c r="N82" s="2" t="s">
        <v>20</v>
      </c>
      <c r="O82" t="str" cm="1">
        <f t="array" ref="O82">_xlfn.IFS(D82&lt;=50000,"low income",D82&lt;=100000,"Mid income",D82&gt;100000,"High income")</f>
        <v>low income</v>
      </c>
      <c r="P82" t="str" cm="1">
        <f t="array" ref="P82">_xlfn.IFS(E82&lt;=2,"&lt;=2",E82&gt;2,"&gt;2")</f>
        <v>&gt;2</v>
      </c>
    </row>
    <row r="83" spans="1:16">
      <c r="A83" s="2">
        <v>19461</v>
      </c>
      <c r="B83" s="2" t="s">
        <v>28</v>
      </c>
      <c r="C83" s="2" t="s">
        <v>17</v>
      </c>
      <c r="D83" s="6">
        <v>10000</v>
      </c>
      <c r="E83" s="2">
        <v>4</v>
      </c>
      <c r="F83" s="2" t="s">
        <v>35</v>
      </c>
      <c r="G83" s="2" t="s">
        <v>31</v>
      </c>
      <c r="H83" s="2" t="s">
        <v>20</v>
      </c>
      <c r="I83" s="2">
        <v>2</v>
      </c>
      <c r="J83" s="4" t="s">
        <v>21</v>
      </c>
      <c r="K83" s="2" t="s">
        <v>22</v>
      </c>
      <c r="L83" s="2">
        <v>40</v>
      </c>
      <c r="M83" t="str" cm="1">
        <f t="array" ref="M83">_xlfn.IFS(L83&lt;=35,"YOUNG_ADULTS",L83&lt;=55,"MIDDLE_AGED",L83&gt;55,"OLD-AGED")</f>
        <v>MIDDLE_AGED</v>
      </c>
      <c r="O83" t="str" cm="1">
        <f t="array" ref="O83">_xlfn.IFS(D83&lt;=50000,"low income",D83&lt;=100000,"Mid income",D83&gt;100000,"High income")</f>
        <v>low income</v>
      </c>
      <c r="P83" t="str" cm="1">
        <f t="array" ref="P83">_xlfn.IFS(E83&lt;=2,"&lt;=2",E83&gt;2,"&gt;2")</f>
        <v>&gt;2</v>
      </c>
    </row>
    <row r="84" spans="1:16">
      <c r="A84" s="2">
        <v>26941</v>
      </c>
      <c r="B84" s="2" t="s">
        <v>16</v>
      </c>
      <c r="C84" s="2" t="s">
        <v>16</v>
      </c>
      <c r="D84" s="6">
        <v>30000</v>
      </c>
      <c r="E84" s="2">
        <v>0</v>
      </c>
      <c r="F84" s="2" t="s">
        <v>18</v>
      </c>
      <c r="G84" s="2" t="s">
        <v>24</v>
      </c>
      <c r="H84" s="2" t="s">
        <v>20</v>
      </c>
      <c r="I84" s="2">
        <v>0</v>
      </c>
      <c r="J84" s="4" t="s">
        <v>21</v>
      </c>
      <c r="K84" s="2" t="s">
        <v>22</v>
      </c>
      <c r="L84" s="2">
        <v>47</v>
      </c>
      <c r="M84" t="str" cm="1">
        <f t="array" ref="M84">_xlfn.IFS(L84&lt;=35,"YOUNG_ADULTS",L84&lt;=55,"MIDDLE_AGED",L84&gt;55,"OLD-AGED")</f>
        <v>MIDDLE_AGED</v>
      </c>
      <c r="N84" s="2" t="s">
        <v>20</v>
      </c>
      <c r="O84" t="str" cm="1">
        <f t="array" ref="O84">_xlfn.IFS(D84&lt;=50000,"low income",D84&lt;=100000,"Mid income",D84&gt;100000,"High income")</f>
        <v>low income</v>
      </c>
      <c r="P84" t="str" cm="1">
        <f t="array" ref="P84">_xlfn.IFS(E84&lt;=2,"&lt;=2",E84&gt;2,"&gt;2")</f>
        <v>&lt;=2</v>
      </c>
    </row>
    <row r="85" spans="1:16">
      <c r="A85" s="2">
        <v>28412</v>
      </c>
      <c r="B85" s="2" t="s">
        <v>28</v>
      </c>
      <c r="C85" s="2" t="s">
        <v>16</v>
      </c>
      <c r="D85" s="6">
        <v>20000</v>
      </c>
      <c r="E85" s="2">
        <v>0</v>
      </c>
      <c r="F85" s="2" t="s">
        <v>33</v>
      </c>
      <c r="G85" s="2" t="s">
        <v>31</v>
      </c>
      <c r="H85" s="2" t="s">
        <v>26</v>
      </c>
      <c r="I85" s="2">
        <v>1</v>
      </c>
      <c r="J85" s="4" t="s">
        <v>27</v>
      </c>
      <c r="K85" s="2" t="s">
        <v>22</v>
      </c>
      <c r="L85" s="2">
        <v>29</v>
      </c>
      <c r="M85" t="str" cm="1">
        <f t="array" ref="M85">_xlfn.IFS(L85&lt;=35,"YOUNG_ADULTS",L85&lt;=55,"MIDDLE_AGED",L85&gt;55,"OLD-AGED")</f>
        <v>YOUNG_ADULTS</v>
      </c>
      <c r="O85" t="str" cm="1">
        <f t="array" ref="O85">_xlfn.IFS(D85&lt;=50000,"low income",D85&lt;=100000,"Mid income",D85&gt;100000,"High income")</f>
        <v>low income</v>
      </c>
      <c r="P85" t="str" cm="1">
        <f t="array" ref="P85">_xlfn.IFS(E85&lt;=2,"&lt;=2",E85&gt;2,"&gt;2")</f>
        <v>&lt;=2</v>
      </c>
    </row>
    <row r="86" spans="1:16">
      <c r="A86" s="2">
        <v>24485</v>
      </c>
      <c r="B86" s="2" t="s">
        <v>28</v>
      </c>
      <c r="C86" s="2" t="s">
        <v>16</v>
      </c>
      <c r="D86" s="6">
        <v>40000</v>
      </c>
      <c r="E86" s="2">
        <v>2</v>
      </c>
      <c r="F86" s="2" t="s">
        <v>18</v>
      </c>
      <c r="G86" s="2" t="s">
        <v>34</v>
      </c>
      <c r="H86" s="2" t="s">
        <v>26</v>
      </c>
      <c r="I86" s="2">
        <v>1</v>
      </c>
      <c r="J86" s="4" t="s">
        <v>29</v>
      </c>
      <c r="K86" s="2" t="s">
        <v>30</v>
      </c>
      <c r="L86" s="2">
        <v>52</v>
      </c>
      <c r="M86" t="str" cm="1">
        <f t="array" ref="M86">_xlfn.IFS(L86&lt;=35,"YOUNG_ADULTS",L86&lt;=55,"MIDDLE_AGED",L86&gt;55,"OLD-AGED")</f>
        <v>MIDDLE_AGED</v>
      </c>
      <c r="N86" s="2" t="s">
        <v>20</v>
      </c>
      <c r="O86" t="str" cm="1">
        <f t="array" ref="O86">_xlfn.IFS(D86&lt;=50000,"low income",D86&lt;=100000,"Mid income",D86&gt;100000,"High income")</f>
        <v>low income</v>
      </c>
      <c r="P86" t="str" cm="1">
        <f t="array" ref="P86">_xlfn.IFS(E86&lt;=2,"&lt;=2",E86&gt;2,"&gt;2")</f>
        <v>&lt;=2</v>
      </c>
    </row>
    <row r="87" spans="1:16">
      <c r="A87" s="2">
        <v>16514</v>
      </c>
      <c r="B87" s="2" t="s">
        <v>28</v>
      </c>
      <c r="C87" s="2" t="s">
        <v>16</v>
      </c>
      <c r="D87" s="6">
        <v>10000</v>
      </c>
      <c r="E87" s="2">
        <v>0</v>
      </c>
      <c r="F87" s="2" t="s">
        <v>23</v>
      </c>
      <c r="G87" s="2" t="s">
        <v>31</v>
      </c>
      <c r="H87" s="2" t="s">
        <v>20</v>
      </c>
      <c r="I87" s="2">
        <v>1</v>
      </c>
      <c r="J87" s="4" t="s">
        <v>32</v>
      </c>
      <c r="K87" s="2" t="s">
        <v>30</v>
      </c>
      <c r="L87" s="2">
        <v>26</v>
      </c>
      <c r="M87" t="str" cm="1">
        <f t="array" ref="M87">_xlfn.IFS(L87&lt;=35,"YOUNG_ADULTS",L87&lt;=55,"MIDDLE_AGED",L87&gt;55,"OLD-AGED")</f>
        <v>YOUNG_ADULTS</v>
      </c>
      <c r="N87" s="2" t="s">
        <v>20</v>
      </c>
      <c r="O87" t="str" cm="1">
        <f t="array" ref="O87">_xlfn.IFS(D87&lt;=50000,"low income",D87&lt;=100000,"Mid income",D87&gt;100000,"High income")</f>
        <v>low income</v>
      </c>
      <c r="P87" t="str" cm="1">
        <f t="array" ref="P87">_xlfn.IFS(E87&lt;=2,"&lt;=2",E87&gt;2,"&gt;2")</f>
        <v>&lt;=2</v>
      </c>
    </row>
    <row r="88" spans="1:16">
      <c r="A88" s="2">
        <v>17191</v>
      </c>
      <c r="B88" s="2" t="s">
        <v>28</v>
      </c>
      <c r="C88" s="2" t="s">
        <v>16</v>
      </c>
      <c r="D88" s="6">
        <v>130000</v>
      </c>
      <c r="E88" s="2">
        <v>3</v>
      </c>
      <c r="F88" s="2" t="s">
        <v>23</v>
      </c>
      <c r="G88" s="2" t="s">
        <v>25</v>
      </c>
      <c r="H88" s="2" t="s">
        <v>26</v>
      </c>
      <c r="I88" s="2">
        <v>3</v>
      </c>
      <c r="J88" s="4" t="s">
        <v>21</v>
      </c>
      <c r="K88" s="2" t="s">
        <v>22</v>
      </c>
      <c r="L88" s="2">
        <v>51</v>
      </c>
      <c r="M88" t="str" cm="1">
        <f t="array" ref="M88">_xlfn.IFS(L88&lt;=35,"YOUNG_ADULTS",L88&lt;=55,"MIDDLE_AGED",L88&gt;55,"OLD-AGED")</f>
        <v>MIDDLE_AGED</v>
      </c>
      <c r="N88" s="2" t="s">
        <v>20</v>
      </c>
      <c r="O88" t="str" cm="1">
        <f t="array" ref="O88">_xlfn.IFS(D88&lt;=50000,"low income",D88&lt;=100000,"Mid income",D88&gt;100000,"High income")</f>
        <v>High income</v>
      </c>
      <c r="P88" t="str" cm="1">
        <f t="array" ref="P88">_xlfn.IFS(E88&lt;=2,"&lt;=2",E88&gt;2,"&gt;2")</f>
        <v>&gt;2</v>
      </c>
    </row>
    <row r="89" spans="1:16">
      <c r="A89" s="2">
        <v>19608</v>
      </c>
      <c r="B89" s="2" t="s">
        <v>16</v>
      </c>
      <c r="C89" s="2" t="s">
        <v>16</v>
      </c>
      <c r="D89" s="6">
        <v>80000</v>
      </c>
      <c r="E89" s="2">
        <v>5</v>
      </c>
      <c r="F89" s="2" t="s">
        <v>18</v>
      </c>
      <c r="G89" s="2" t="s">
        <v>25</v>
      </c>
      <c r="H89" s="2" t="s">
        <v>20</v>
      </c>
      <c r="I89" s="2">
        <v>4</v>
      </c>
      <c r="J89" s="4" t="s">
        <v>32</v>
      </c>
      <c r="K89" s="2" t="s">
        <v>30</v>
      </c>
      <c r="L89" s="2">
        <v>40</v>
      </c>
      <c r="M89" t="str" cm="1">
        <f t="array" ref="M89">_xlfn.IFS(L89&lt;=35,"YOUNG_ADULTS",L89&lt;=55,"MIDDLE_AGED",L89&gt;55,"OLD-AGED")</f>
        <v>MIDDLE_AGED</v>
      </c>
      <c r="O89" t="str" cm="1">
        <f t="array" ref="O89">_xlfn.IFS(D89&lt;=50000,"low income",D89&lt;=100000,"Mid income",D89&gt;100000,"High income")</f>
        <v>Mid income</v>
      </c>
      <c r="P89" t="str" cm="1">
        <f t="array" ref="P89">_xlfn.IFS(E89&lt;=2,"&lt;=2",E89&gt;2,"&gt;2")</f>
        <v>&gt;2</v>
      </c>
    </row>
    <row r="90" spans="1:16">
      <c r="A90" s="2">
        <v>24119</v>
      </c>
      <c r="B90" s="2" t="s">
        <v>28</v>
      </c>
      <c r="C90" s="2" t="s">
        <v>16</v>
      </c>
      <c r="D90" s="6">
        <v>30000</v>
      </c>
      <c r="E90" s="2">
        <v>0</v>
      </c>
      <c r="F90" s="2" t="s">
        <v>23</v>
      </c>
      <c r="G90" s="2" t="s">
        <v>24</v>
      </c>
      <c r="H90" s="2" t="s">
        <v>26</v>
      </c>
      <c r="I90" s="2">
        <v>1</v>
      </c>
      <c r="J90" s="4" t="s">
        <v>27</v>
      </c>
      <c r="K90" s="2" t="s">
        <v>22</v>
      </c>
      <c r="L90" s="2">
        <v>29</v>
      </c>
      <c r="M90" t="str" cm="1">
        <f t="array" ref="M90">_xlfn.IFS(L90&lt;=35,"YOUNG_ADULTS",L90&lt;=55,"MIDDLE_AGED",L90&gt;55,"OLD-AGED")</f>
        <v>YOUNG_ADULTS</v>
      </c>
      <c r="O90" t="str" cm="1">
        <f t="array" ref="O90">_xlfn.IFS(D90&lt;=50000,"low income",D90&lt;=100000,"Mid income",D90&gt;100000,"High income")</f>
        <v>low income</v>
      </c>
      <c r="P90" t="str" cm="1">
        <f t="array" ref="P90">_xlfn.IFS(E90&lt;=2,"&lt;=2",E90&gt;2,"&gt;2")</f>
        <v>&lt;=2</v>
      </c>
    </row>
    <row r="91" spans="1:16">
      <c r="A91" s="2">
        <v>25458</v>
      </c>
      <c r="B91" s="2" t="s">
        <v>16</v>
      </c>
      <c r="C91" s="2" t="s">
        <v>16</v>
      </c>
      <c r="D91" s="6">
        <v>20000</v>
      </c>
      <c r="E91" s="2">
        <v>1</v>
      </c>
      <c r="F91" s="2" t="s">
        <v>33</v>
      </c>
      <c r="G91" s="2" t="s">
        <v>31</v>
      </c>
      <c r="H91" s="2" t="s">
        <v>26</v>
      </c>
      <c r="I91" s="2">
        <v>1</v>
      </c>
      <c r="J91" s="4" t="s">
        <v>32</v>
      </c>
      <c r="K91" s="2" t="s">
        <v>22</v>
      </c>
      <c r="L91" s="2">
        <v>40</v>
      </c>
      <c r="M91" t="str" cm="1">
        <f t="array" ref="M91">_xlfn.IFS(L91&lt;=35,"YOUNG_ADULTS",L91&lt;=55,"MIDDLE_AGED",L91&gt;55,"OLD-AGED")</f>
        <v>MIDDLE_AGED</v>
      </c>
      <c r="N91" s="2" t="s">
        <v>20</v>
      </c>
      <c r="O91" t="str" cm="1">
        <f t="array" ref="O91">_xlfn.IFS(D91&lt;=50000,"low income",D91&lt;=100000,"Mid income",D91&gt;100000,"High income")</f>
        <v>low income</v>
      </c>
      <c r="P91" t="str" cm="1">
        <f t="array" ref="P91">_xlfn.IFS(E91&lt;=2,"&lt;=2",E91&gt;2,"&gt;2")</f>
        <v>&lt;=2</v>
      </c>
    </row>
    <row r="92" spans="1:16">
      <c r="A92" s="2">
        <v>26886</v>
      </c>
      <c r="B92" s="2" t="s">
        <v>28</v>
      </c>
      <c r="C92" s="2" t="s">
        <v>17</v>
      </c>
      <c r="D92" s="6">
        <v>30000</v>
      </c>
      <c r="E92" s="2">
        <v>0</v>
      </c>
      <c r="F92" s="2" t="s">
        <v>23</v>
      </c>
      <c r="G92" s="2" t="s">
        <v>24</v>
      </c>
      <c r="H92" s="2" t="s">
        <v>26</v>
      </c>
      <c r="I92" s="2">
        <v>1</v>
      </c>
      <c r="J92" s="4" t="s">
        <v>21</v>
      </c>
      <c r="K92" s="2" t="s">
        <v>22</v>
      </c>
      <c r="L92" s="2">
        <v>29</v>
      </c>
      <c r="M92" t="str" cm="1">
        <f t="array" ref="M92">_xlfn.IFS(L92&lt;=35,"YOUNG_ADULTS",L92&lt;=55,"MIDDLE_AGED",L92&gt;55,"OLD-AGED")</f>
        <v>YOUNG_ADULTS</v>
      </c>
      <c r="N92" s="2" t="s">
        <v>20</v>
      </c>
      <c r="O92" t="str" cm="1">
        <f t="array" ref="O92">_xlfn.IFS(D92&lt;=50000,"low income",D92&lt;=100000,"Mid income",D92&gt;100000,"High income")</f>
        <v>low income</v>
      </c>
      <c r="P92" t="str" cm="1">
        <f t="array" ref="P92">_xlfn.IFS(E92&lt;=2,"&lt;=2",E92&gt;2,"&gt;2")</f>
        <v>&lt;=2</v>
      </c>
    </row>
    <row r="93" spans="1:16">
      <c r="A93" s="2">
        <v>28436</v>
      </c>
      <c r="B93" s="2" t="s">
        <v>28</v>
      </c>
      <c r="C93" s="2" t="s">
        <v>16</v>
      </c>
      <c r="D93" s="6">
        <v>30000</v>
      </c>
      <c r="E93" s="2">
        <v>0</v>
      </c>
      <c r="F93" s="2" t="s">
        <v>23</v>
      </c>
      <c r="G93" s="2" t="s">
        <v>24</v>
      </c>
      <c r="H93" s="2" t="s">
        <v>26</v>
      </c>
      <c r="I93" s="2">
        <v>1</v>
      </c>
      <c r="J93" s="4" t="s">
        <v>21</v>
      </c>
      <c r="K93" s="2" t="s">
        <v>22</v>
      </c>
      <c r="L93" s="2">
        <v>30</v>
      </c>
      <c r="M93" t="str" cm="1">
        <f t="array" ref="M93">_xlfn.IFS(L93&lt;=35,"YOUNG_ADULTS",L93&lt;=55,"MIDDLE_AGED",L93&gt;55,"OLD-AGED")</f>
        <v>YOUNG_ADULTS</v>
      </c>
      <c r="N93" s="2" t="s">
        <v>20</v>
      </c>
      <c r="O93" t="str" cm="1">
        <f t="array" ref="O93">_xlfn.IFS(D93&lt;=50000,"low income",D93&lt;=100000,"Mid income",D93&gt;100000,"High income")</f>
        <v>low income</v>
      </c>
      <c r="P93" t="str" cm="1">
        <f t="array" ref="P93">_xlfn.IFS(E93&lt;=2,"&lt;=2",E93&gt;2,"&gt;2")</f>
        <v>&lt;=2</v>
      </c>
    </row>
    <row r="94" spans="1:16">
      <c r="A94" s="2">
        <v>19562</v>
      </c>
      <c r="B94" s="2" t="s">
        <v>28</v>
      </c>
      <c r="C94" s="2" t="s">
        <v>17</v>
      </c>
      <c r="D94" s="6">
        <v>60000</v>
      </c>
      <c r="E94" s="2">
        <v>2</v>
      </c>
      <c r="F94" s="2" t="s">
        <v>18</v>
      </c>
      <c r="G94" s="2" t="s">
        <v>25</v>
      </c>
      <c r="H94" s="2" t="s">
        <v>20</v>
      </c>
      <c r="I94" s="2">
        <v>1</v>
      </c>
      <c r="J94" s="4" t="s">
        <v>27</v>
      </c>
      <c r="K94" s="2" t="s">
        <v>30</v>
      </c>
      <c r="L94" s="2">
        <v>37</v>
      </c>
      <c r="M94" t="str" cm="1">
        <f t="array" ref="M94">_xlfn.IFS(L94&lt;=35,"YOUNG_ADULTS",L94&lt;=55,"MIDDLE_AGED",L94&gt;55,"OLD-AGED")</f>
        <v>MIDDLE_AGED</v>
      </c>
      <c r="N94" s="2" t="s">
        <v>20</v>
      </c>
      <c r="O94" t="str" cm="1">
        <f t="array" ref="O94">_xlfn.IFS(D94&lt;=50000,"low income",D94&lt;=100000,"Mid income",D94&gt;100000,"High income")</f>
        <v>Mid income</v>
      </c>
      <c r="P94" t="str" cm="1">
        <f t="array" ref="P94">_xlfn.IFS(E94&lt;=2,"&lt;=2",E94&gt;2,"&gt;2")</f>
        <v>&lt;=2</v>
      </c>
    </row>
    <row r="95" spans="1:16">
      <c r="A95" s="2">
        <v>15608</v>
      </c>
      <c r="B95" s="2" t="s">
        <v>28</v>
      </c>
      <c r="C95" s="2" t="s">
        <v>17</v>
      </c>
      <c r="D95" s="6">
        <v>30000</v>
      </c>
      <c r="E95" s="2">
        <v>0</v>
      </c>
      <c r="F95" s="2" t="s">
        <v>23</v>
      </c>
      <c r="G95" s="2" t="s">
        <v>24</v>
      </c>
      <c r="H95" s="2" t="s">
        <v>26</v>
      </c>
      <c r="I95" s="2">
        <v>1</v>
      </c>
      <c r="J95" s="4" t="s">
        <v>27</v>
      </c>
      <c r="K95" s="2" t="s">
        <v>22</v>
      </c>
      <c r="L95" s="2">
        <v>33</v>
      </c>
      <c r="M95" t="str" cm="1">
        <f t="array" ref="M95">_xlfn.IFS(L95&lt;=35,"YOUNG_ADULTS",L95&lt;=55,"MIDDLE_AGED",L95&gt;55,"OLD-AGED")</f>
        <v>YOUNG_ADULTS</v>
      </c>
      <c r="O95" t="str" cm="1">
        <f t="array" ref="O95">_xlfn.IFS(D95&lt;=50000,"low income",D95&lt;=100000,"Mid income",D95&gt;100000,"High income")</f>
        <v>low income</v>
      </c>
      <c r="P95" t="str" cm="1">
        <f t="array" ref="P95">_xlfn.IFS(E95&lt;=2,"&lt;=2",E95&gt;2,"&gt;2")</f>
        <v>&lt;=2</v>
      </c>
    </row>
    <row r="96" spans="1:16">
      <c r="A96" s="2">
        <v>16487</v>
      </c>
      <c r="B96" s="2" t="s">
        <v>28</v>
      </c>
      <c r="C96" s="2" t="s">
        <v>17</v>
      </c>
      <c r="D96" s="6">
        <v>30000</v>
      </c>
      <c r="E96" s="2">
        <v>3</v>
      </c>
      <c r="F96" s="2" t="s">
        <v>33</v>
      </c>
      <c r="G96" s="2" t="s">
        <v>19</v>
      </c>
      <c r="H96" s="2" t="s">
        <v>20</v>
      </c>
      <c r="I96" s="2">
        <v>2</v>
      </c>
      <c r="J96" s="4" t="s">
        <v>29</v>
      </c>
      <c r="K96" s="2" t="s">
        <v>30</v>
      </c>
      <c r="L96" s="2">
        <v>55</v>
      </c>
      <c r="M96" t="str" cm="1">
        <f t="array" ref="M96">_xlfn.IFS(L96&lt;=35,"YOUNG_ADULTS",L96&lt;=55,"MIDDLE_AGED",L96&gt;55,"OLD-AGED")</f>
        <v>MIDDLE_AGED</v>
      </c>
      <c r="O96" t="str" cm="1">
        <f t="array" ref="O96">_xlfn.IFS(D96&lt;=50000,"low income",D96&lt;=100000,"Mid income",D96&gt;100000,"High income")</f>
        <v>low income</v>
      </c>
      <c r="P96" t="str" cm="1">
        <f t="array" ref="P96">_xlfn.IFS(E96&lt;=2,"&lt;=2",E96&gt;2,"&gt;2")</f>
        <v>&gt;2</v>
      </c>
    </row>
    <row r="97" spans="1:16">
      <c r="A97" s="2">
        <v>17197</v>
      </c>
      <c r="B97" s="2" t="s">
        <v>28</v>
      </c>
      <c r="C97" s="2" t="s">
        <v>17</v>
      </c>
      <c r="D97" s="6">
        <v>90000</v>
      </c>
      <c r="E97" s="2">
        <v>5</v>
      </c>
      <c r="F97" s="2" t="s">
        <v>23</v>
      </c>
      <c r="G97" s="2" t="s">
        <v>25</v>
      </c>
      <c r="H97" s="2" t="s">
        <v>20</v>
      </c>
      <c r="I97" s="2">
        <v>2</v>
      </c>
      <c r="J97" s="4" t="s">
        <v>36</v>
      </c>
      <c r="K97" s="2" t="s">
        <v>22</v>
      </c>
      <c r="L97" s="2">
        <v>62</v>
      </c>
      <c r="M97" t="str" cm="1">
        <f t="array" ref="M97">_xlfn.IFS(L97&lt;=35,"YOUNG_ADULTS",L97&lt;=55,"MIDDLE_AGED",L97&gt;55,"OLD-AGED")</f>
        <v>OLD-AGED</v>
      </c>
      <c r="O97" t="str" cm="1">
        <f t="array" ref="O97">_xlfn.IFS(D97&lt;=50000,"low income",D97&lt;=100000,"Mid income",D97&gt;100000,"High income")</f>
        <v>Mid income</v>
      </c>
      <c r="P97" t="str" cm="1">
        <f t="array" ref="P97">_xlfn.IFS(E97&lt;=2,"&lt;=2",E97&gt;2,"&gt;2")</f>
        <v>&gt;2</v>
      </c>
    </row>
    <row r="98" spans="1:16">
      <c r="A98" s="2">
        <v>12507</v>
      </c>
      <c r="B98" s="2" t="s">
        <v>16</v>
      </c>
      <c r="C98" s="2" t="s">
        <v>16</v>
      </c>
      <c r="D98" s="6">
        <v>30000</v>
      </c>
      <c r="E98" s="2">
        <v>1</v>
      </c>
      <c r="F98" s="2" t="s">
        <v>23</v>
      </c>
      <c r="G98" s="2" t="s">
        <v>24</v>
      </c>
      <c r="H98" s="2" t="s">
        <v>20</v>
      </c>
      <c r="I98" s="2">
        <v>1</v>
      </c>
      <c r="J98" s="4" t="s">
        <v>21</v>
      </c>
      <c r="K98" s="2" t="s">
        <v>22</v>
      </c>
      <c r="L98" s="2">
        <v>43</v>
      </c>
      <c r="M98" t="str" cm="1">
        <f t="array" ref="M98">_xlfn.IFS(L98&lt;=35,"YOUNG_ADULTS",L98&lt;=55,"MIDDLE_AGED",L98&gt;55,"OLD-AGED")</f>
        <v>MIDDLE_AGED</v>
      </c>
      <c r="O98" t="str" cm="1">
        <f t="array" ref="O98">_xlfn.IFS(D98&lt;=50000,"low income",D98&lt;=100000,"Mid income",D98&gt;100000,"High income")</f>
        <v>low income</v>
      </c>
      <c r="P98" t="str" cm="1">
        <f t="array" ref="P98">_xlfn.IFS(E98&lt;=2,"&lt;=2",E98&gt;2,"&gt;2")</f>
        <v>&lt;=2</v>
      </c>
    </row>
    <row r="99" spans="1:16">
      <c r="A99" s="2">
        <v>23940</v>
      </c>
      <c r="B99" s="2" t="s">
        <v>16</v>
      </c>
      <c r="C99" s="2" t="s">
        <v>16</v>
      </c>
      <c r="D99" s="6">
        <v>40000</v>
      </c>
      <c r="E99" s="2">
        <v>1</v>
      </c>
      <c r="F99" s="2" t="s">
        <v>18</v>
      </c>
      <c r="G99" s="2" t="s">
        <v>19</v>
      </c>
      <c r="H99" s="2" t="s">
        <v>20</v>
      </c>
      <c r="I99" s="2">
        <v>1</v>
      </c>
      <c r="J99" s="4" t="s">
        <v>21</v>
      </c>
      <c r="K99" s="2" t="s">
        <v>22</v>
      </c>
      <c r="L99" s="2">
        <v>44</v>
      </c>
      <c r="M99" t="str" cm="1">
        <f t="array" ref="M99">_xlfn.IFS(L99&lt;=35,"YOUNG_ADULTS",L99&lt;=55,"MIDDLE_AGED",L99&gt;55,"OLD-AGED")</f>
        <v>MIDDLE_AGED</v>
      </c>
      <c r="N99" s="2" t="s">
        <v>20</v>
      </c>
      <c r="O99" t="str" cm="1">
        <f t="array" ref="O99">_xlfn.IFS(D99&lt;=50000,"low income",D99&lt;=100000,"Mid income",D99&gt;100000,"High income")</f>
        <v>low income</v>
      </c>
      <c r="P99" t="str" cm="1">
        <f t="array" ref="P99">_xlfn.IFS(E99&lt;=2,"&lt;=2",E99&gt;2,"&gt;2")</f>
        <v>&lt;=2</v>
      </c>
    </row>
    <row r="100" spans="1:16">
      <c r="A100" s="2">
        <v>19441</v>
      </c>
      <c r="B100" s="2" t="s">
        <v>16</v>
      </c>
      <c r="C100" s="2" t="s">
        <v>16</v>
      </c>
      <c r="D100" s="6">
        <v>40000</v>
      </c>
      <c r="E100" s="2">
        <v>0</v>
      </c>
      <c r="F100" s="2" t="s">
        <v>37</v>
      </c>
      <c r="G100" s="2" t="s">
        <v>24</v>
      </c>
      <c r="H100" s="2" t="s">
        <v>20</v>
      </c>
      <c r="I100" s="2">
        <v>0</v>
      </c>
      <c r="J100" s="4" t="s">
        <v>21</v>
      </c>
      <c r="K100" s="2" t="s">
        <v>22</v>
      </c>
      <c r="L100" s="2">
        <v>25</v>
      </c>
      <c r="M100" t="str" cm="1">
        <f t="array" ref="M100">_xlfn.IFS(L100&lt;=35,"YOUNG_ADULTS",L100&lt;=55,"MIDDLE_AGED",L100&gt;55,"OLD-AGED")</f>
        <v>YOUNG_ADULTS</v>
      </c>
      <c r="N100" s="2" t="s">
        <v>20</v>
      </c>
      <c r="O100" t="str" cm="1">
        <f t="array" ref="O100">_xlfn.IFS(D100&lt;=50000,"low income",D100&lt;=100000,"Mid income",D100&gt;100000,"High income")</f>
        <v>low income</v>
      </c>
      <c r="P100" t="str" cm="1">
        <f t="array" ref="P100">_xlfn.IFS(E100&lt;=2,"&lt;=2",E100&gt;2,"&gt;2")</f>
        <v>&lt;=2</v>
      </c>
    </row>
    <row r="101" spans="1:16">
      <c r="A101" s="2">
        <v>26852</v>
      </c>
      <c r="B101" s="2" t="s">
        <v>16</v>
      </c>
      <c r="C101" s="2" t="s">
        <v>17</v>
      </c>
      <c r="D101" s="6">
        <v>20000</v>
      </c>
      <c r="E101" s="2">
        <v>3</v>
      </c>
      <c r="F101" s="2" t="s">
        <v>33</v>
      </c>
      <c r="G101" s="2" t="s">
        <v>31</v>
      </c>
      <c r="H101" s="2" t="s">
        <v>20</v>
      </c>
      <c r="I101" s="2">
        <v>2</v>
      </c>
      <c r="J101" s="4" t="s">
        <v>21</v>
      </c>
      <c r="K101" s="2" t="s">
        <v>22</v>
      </c>
      <c r="L101" s="2">
        <v>43</v>
      </c>
      <c r="M101" t="str" cm="1">
        <f t="array" ref="M101">_xlfn.IFS(L101&lt;=35,"YOUNG_ADULTS",L101&lt;=55,"MIDDLE_AGED",L101&gt;55,"OLD-AGED")</f>
        <v>MIDDLE_AGED</v>
      </c>
      <c r="O101" t="str" cm="1">
        <f t="array" ref="O101">_xlfn.IFS(D101&lt;=50000,"low income",D101&lt;=100000,"Mid income",D101&gt;100000,"High income")</f>
        <v>low income</v>
      </c>
      <c r="P101" t="str" cm="1">
        <f t="array" ref="P101">_xlfn.IFS(E101&lt;=2,"&lt;=2",E101&gt;2,"&gt;2")</f>
        <v>&gt;2</v>
      </c>
    </row>
    <row r="102" spans="1:16">
      <c r="A102" s="2">
        <v>12274</v>
      </c>
      <c r="B102" s="2" t="s">
        <v>28</v>
      </c>
      <c r="C102" s="2" t="s">
        <v>16</v>
      </c>
      <c r="D102" s="6">
        <v>10000</v>
      </c>
      <c r="E102" s="2">
        <v>2</v>
      </c>
      <c r="F102" s="2" t="s">
        <v>33</v>
      </c>
      <c r="G102" s="2" t="s">
        <v>31</v>
      </c>
      <c r="H102" s="2" t="s">
        <v>20</v>
      </c>
      <c r="I102" s="2">
        <v>0</v>
      </c>
      <c r="J102" s="4" t="s">
        <v>21</v>
      </c>
      <c r="K102" s="2" t="s">
        <v>22</v>
      </c>
      <c r="L102" s="2">
        <v>35</v>
      </c>
      <c r="M102" t="str" cm="1">
        <f t="array" ref="M102">_xlfn.IFS(L102&lt;=35,"YOUNG_ADULTS",L102&lt;=55,"MIDDLE_AGED",L102&gt;55,"OLD-AGED")</f>
        <v>YOUNG_ADULTS</v>
      </c>
      <c r="O102" t="str" cm="1">
        <f t="array" ref="O102">_xlfn.IFS(D102&lt;=50000,"low income",D102&lt;=100000,"Mid income",D102&gt;100000,"High income")</f>
        <v>low income</v>
      </c>
      <c r="P102" t="str" cm="1">
        <f t="array" ref="P102">_xlfn.IFS(E102&lt;=2,"&lt;=2",E102&gt;2,"&gt;2")</f>
        <v>&lt;=2</v>
      </c>
    </row>
    <row r="103" spans="1:16">
      <c r="A103" s="2">
        <v>20236</v>
      </c>
      <c r="B103" s="2" t="s">
        <v>28</v>
      </c>
      <c r="C103" s="2" t="s">
        <v>16</v>
      </c>
      <c r="D103" s="6">
        <v>60000</v>
      </c>
      <c r="E103" s="2">
        <v>3</v>
      </c>
      <c r="F103" s="2" t="s">
        <v>18</v>
      </c>
      <c r="G103" s="2" t="s">
        <v>25</v>
      </c>
      <c r="H103" s="2" t="s">
        <v>26</v>
      </c>
      <c r="I103" s="2">
        <v>2</v>
      </c>
      <c r="J103" s="4" t="s">
        <v>21</v>
      </c>
      <c r="K103" s="2" t="s">
        <v>30</v>
      </c>
      <c r="L103" s="2">
        <v>43</v>
      </c>
      <c r="M103" t="str" cm="1">
        <f t="array" ref="M103">_xlfn.IFS(L103&lt;=35,"YOUNG_ADULTS",L103&lt;=55,"MIDDLE_AGED",L103&gt;55,"OLD-AGED")</f>
        <v>MIDDLE_AGED</v>
      </c>
      <c r="N103" s="2" t="s">
        <v>20</v>
      </c>
      <c r="O103" t="str" cm="1">
        <f t="array" ref="O103">_xlfn.IFS(D103&lt;=50000,"low income",D103&lt;=100000,"Mid income",D103&gt;100000,"High income")</f>
        <v>Mid income</v>
      </c>
      <c r="P103" t="str" cm="1">
        <f t="array" ref="P103">_xlfn.IFS(E103&lt;=2,"&lt;=2",E103&gt;2,"&gt;2")</f>
        <v>&gt;2</v>
      </c>
    </row>
    <row r="104" spans="1:16">
      <c r="A104" s="2">
        <v>24149</v>
      </c>
      <c r="B104" s="2" t="s">
        <v>16</v>
      </c>
      <c r="C104" s="2" t="s">
        <v>16</v>
      </c>
      <c r="D104" s="6">
        <v>10000</v>
      </c>
      <c r="E104" s="2">
        <v>2</v>
      </c>
      <c r="F104" s="2" t="s">
        <v>23</v>
      </c>
      <c r="G104" s="2" t="s">
        <v>31</v>
      </c>
      <c r="H104" s="2" t="s">
        <v>20</v>
      </c>
      <c r="I104" s="2">
        <v>0</v>
      </c>
      <c r="J104" s="4" t="s">
        <v>32</v>
      </c>
      <c r="K104" s="2" t="s">
        <v>22</v>
      </c>
      <c r="L104" s="2">
        <v>49</v>
      </c>
      <c r="M104" t="str" cm="1">
        <f t="array" ref="M104">_xlfn.IFS(L104&lt;=35,"YOUNG_ADULTS",L104&lt;=55,"MIDDLE_AGED",L104&gt;55,"OLD-AGED")</f>
        <v>MIDDLE_AGED</v>
      </c>
      <c r="O104" t="str" cm="1">
        <f t="array" ref="O104">_xlfn.IFS(D104&lt;=50000,"low income",D104&lt;=100000,"Mid income",D104&gt;100000,"High income")</f>
        <v>low income</v>
      </c>
      <c r="P104" t="str" cm="1">
        <f t="array" ref="P104">_xlfn.IFS(E104&lt;=2,"&lt;=2",E104&gt;2,"&gt;2")</f>
        <v>&lt;=2</v>
      </c>
    </row>
    <row r="105" spans="1:16">
      <c r="A105" s="2">
        <v>26139</v>
      </c>
      <c r="B105" s="2" t="s">
        <v>28</v>
      </c>
      <c r="C105" s="2" t="s">
        <v>16</v>
      </c>
      <c r="D105" s="6">
        <v>60000</v>
      </c>
      <c r="E105" s="2">
        <v>1</v>
      </c>
      <c r="F105" s="2" t="s">
        <v>23</v>
      </c>
      <c r="G105" s="2" t="s">
        <v>19</v>
      </c>
      <c r="H105" s="2" t="s">
        <v>20</v>
      </c>
      <c r="I105" s="2">
        <v>1</v>
      </c>
      <c r="J105" s="4" t="s">
        <v>29</v>
      </c>
      <c r="K105" s="2" t="s">
        <v>30</v>
      </c>
      <c r="L105" s="2">
        <v>45</v>
      </c>
      <c r="M105" t="str" cm="1">
        <f t="array" ref="M105">_xlfn.IFS(L105&lt;=35,"YOUNG_ADULTS",L105&lt;=55,"MIDDLE_AGED",L105&gt;55,"OLD-AGED")</f>
        <v>MIDDLE_AGED</v>
      </c>
      <c r="O105" t="str" cm="1">
        <f t="array" ref="O105">_xlfn.IFS(D105&lt;=50000,"low income",D105&lt;=100000,"Mid income",D105&gt;100000,"High income")</f>
        <v>Mid income</v>
      </c>
      <c r="P105" t="str" cm="1">
        <f t="array" ref="P105">_xlfn.IFS(E105&lt;=2,"&lt;=2",E105&gt;2,"&gt;2")</f>
        <v>&lt;=2</v>
      </c>
    </row>
    <row r="106" spans="1:16">
      <c r="A106" s="2">
        <v>18491</v>
      </c>
      <c r="B106" s="2" t="s">
        <v>28</v>
      </c>
      <c r="C106" s="2" t="s">
        <v>17</v>
      </c>
      <c r="D106" s="6">
        <v>70000</v>
      </c>
      <c r="E106" s="2">
        <v>2</v>
      </c>
      <c r="F106" s="2" t="s">
        <v>33</v>
      </c>
      <c r="G106" s="2" t="s">
        <v>25</v>
      </c>
      <c r="H106" s="2" t="s">
        <v>20</v>
      </c>
      <c r="I106" s="2">
        <v>2</v>
      </c>
      <c r="J106" s="4" t="s">
        <v>29</v>
      </c>
      <c r="K106" s="2" t="s">
        <v>30</v>
      </c>
      <c r="L106" s="2">
        <v>49</v>
      </c>
      <c r="M106" t="str" cm="1">
        <f t="array" ref="M106">_xlfn.IFS(L106&lt;=35,"YOUNG_ADULTS",L106&lt;=55,"MIDDLE_AGED",L106&gt;55,"OLD-AGED")</f>
        <v>MIDDLE_AGED</v>
      </c>
      <c r="N106" s="2" t="s">
        <v>20</v>
      </c>
      <c r="O106" t="str" cm="1">
        <f t="array" ref="O106">_xlfn.IFS(D106&lt;=50000,"low income",D106&lt;=100000,"Mid income",D106&gt;100000,"High income")</f>
        <v>Mid income</v>
      </c>
      <c r="P106" t="str" cm="1">
        <f t="array" ref="P106">_xlfn.IFS(E106&lt;=2,"&lt;=2",E106&gt;2,"&gt;2")</f>
        <v>&lt;=2</v>
      </c>
    </row>
    <row r="107" spans="1:16">
      <c r="A107" s="2">
        <v>22707</v>
      </c>
      <c r="B107" s="2" t="s">
        <v>28</v>
      </c>
      <c r="C107" s="2" t="s">
        <v>17</v>
      </c>
      <c r="D107" s="6">
        <v>30000</v>
      </c>
      <c r="E107" s="2">
        <v>0</v>
      </c>
      <c r="F107" s="2" t="s">
        <v>23</v>
      </c>
      <c r="G107" s="2" t="s">
        <v>24</v>
      </c>
      <c r="H107" s="2" t="s">
        <v>26</v>
      </c>
      <c r="I107" s="2">
        <v>1</v>
      </c>
      <c r="J107" s="4" t="s">
        <v>27</v>
      </c>
      <c r="K107" s="2" t="s">
        <v>22</v>
      </c>
      <c r="L107" s="2">
        <v>30</v>
      </c>
      <c r="M107" t="str" cm="1">
        <f t="array" ref="M107">_xlfn.IFS(L107&lt;=35,"YOUNG_ADULTS",L107&lt;=55,"MIDDLE_AGED",L107&gt;55,"OLD-AGED")</f>
        <v>YOUNG_ADULTS</v>
      </c>
      <c r="O107" t="str" cm="1">
        <f t="array" ref="O107">_xlfn.IFS(D107&lt;=50000,"low income",D107&lt;=100000,"Mid income",D107&gt;100000,"High income")</f>
        <v>low income</v>
      </c>
      <c r="P107" t="str" cm="1">
        <f t="array" ref="P107">_xlfn.IFS(E107&lt;=2,"&lt;=2",E107&gt;2,"&gt;2")</f>
        <v>&lt;=2</v>
      </c>
    </row>
    <row r="108" spans="1:16">
      <c r="A108" s="2">
        <v>20430</v>
      </c>
      <c r="B108" s="2" t="s">
        <v>16</v>
      </c>
      <c r="C108" s="2" t="s">
        <v>16</v>
      </c>
      <c r="D108" s="6">
        <v>70000</v>
      </c>
      <c r="E108" s="2">
        <v>2</v>
      </c>
      <c r="F108" s="2" t="s">
        <v>23</v>
      </c>
      <c r="G108" s="2" t="s">
        <v>19</v>
      </c>
      <c r="H108" s="2" t="s">
        <v>20</v>
      </c>
      <c r="I108" s="2">
        <v>2</v>
      </c>
      <c r="J108" s="4" t="s">
        <v>29</v>
      </c>
      <c r="K108" s="2" t="s">
        <v>30</v>
      </c>
      <c r="L108" s="2">
        <v>52</v>
      </c>
      <c r="M108" t="str" cm="1">
        <f t="array" ref="M108">_xlfn.IFS(L108&lt;=35,"YOUNG_ADULTS",L108&lt;=55,"MIDDLE_AGED",L108&gt;55,"OLD-AGED")</f>
        <v>MIDDLE_AGED</v>
      </c>
      <c r="N108" s="2" t="s">
        <v>20</v>
      </c>
      <c r="O108" t="str" cm="1">
        <f t="array" ref="O108">_xlfn.IFS(D108&lt;=50000,"low income",D108&lt;=100000,"Mid income",D108&gt;100000,"High income")</f>
        <v>Mid income</v>
      </c>
      <c r="P108" t="str" cm="1">
        <f t="array" ref="P108">_xlfn.IFS(E108&lt;=2,"&lt;=2",E108&gt;2,"&gt;2")</f>
        <v>&lt;=2</v>
      </c>
    </row>
    <row r="109" spans="1:16">
      <c r="A109" s="2">
        <v>27494</v>
      </c>
      <c r="B109" s="2" t="s">
        <v>28</v>
      </c>
      <c r="C109" s="2" t="s">
        <v>17</v>
      </c>
      <c r="D109" s="6">
        <v>40000</v>
      </c>
      <c r="E109" s="2">
        <v>2</v>
      </c>
      <c r="F109" s="2" t="s">
        <v>23</v>
      </c>
      <c r="G109" s="2" t="s">
        <v>19</v>
      </c>
      <c r="H109" s="2" t="s">
        <v>26</v>
      </c>
      <c r="I109" s="2">
        <v>2</v>
      </c>
      <c r="J109" s="4" t="s">
        <v>32</v>
      </c>
      <c r="K109" s="2" t="s">
        <v>30</v>
      </c>
      <c r="L109" s="2">
        <v>53</v>
      </c>
      <c r="M109" t="str" cm="1">
        <f t="array" ref="M109">_xlfn.IFS(L109&lt;=35,"YOUNG_ADULTS",L109&lt;=55,"MIDDLE_AGED",L109&gt;55,"OLD-AGED")</f>
        <v>MIDDLE_AGED</v>
      </c>
      <c r="N109" s="2" t="s">
        <v>20</v>
      </c>
      <c r="O109" t="str" cm="1">
        <f t="array" ref="O109">_xlfn.IFS(D109&lt;=50000,"low income",D109&lt;=100000,"Mid income",D109&gt;100000,"High income")</f>
        <v>low income</v>
      </c>
      <c r="P109" t="str" cm="1">
        <f t="array" ref="P109">_xlfn.IFS(E109&lt;=2,"&lt;=2",E109&gt;2,"&gt;2")</f>
        <v>&lt;=2</v>
      </c>
    </row>
    <row r="110" spans="1:16">
      <c r="A110" s="2">
        <v>26829</v>
      </c>
      <c r="B110" s="2" t="s">
        <v>16</v>
      </c>
      <c r="C110" s="2" t="s">
        <v>17</v>
      </c>
      <c r="D110" s="6">
        <v>40000</v>
      </c>
      <c r="E110" s="2">
        <v>0</v>
      </c>
      <c r="F110" s="2" t="s">
        <v>18</v>
      </c>
      <c r="G110" s="2" t="s">
        <v>24</v>
      </c>
      <c r="H110" s="2" t="s">
        <v>20</v>
      </c>
      <c r="I110" s="2">
        <v>0</v>
      </c>
      <c r="J110" s="4" t="s">
        <v>21</v>
      </c>
      <c r="K110" s="2" t="s">
        <v>22</v>
      </c>
      <c r="L110" s="2">
        <v>38</v>
      </c>
      <c r="M110" t="str" cm="1">
        <f t="array" ref="M110">_xlfn.IFS(L110&lt;=35,"YOUNG_ADULTS",L110&lt;=55,"MIDDLE_AGED",L110&gt;55,"OLD-AGED")</f>
        <v>MIDDLE_AGED</v>
      </c>
      <c r="N110" s="2" t="s">
        <v>20</v>
      </c>
      <c r="O110" t="str" cm="1">
        <f t="array" ref="O110">_xlfn.IFS(D110&lt;=50000,"low income",D110&lt;=100000,"Mid income",D110&gt;100000,"High income")</f>
        <v>low income</v>
      </c>
      <c r="P110" t="str" cm="1">
        <f t="array" ref="P110">_xlfn.IFS(E110&lt;=2,"&lt;=2",E110&gt;2,"&gt;2")</f>
        <v>&lt;=2</v>
      </c>
    </row>
    <row r="111" spans="1:16">
      <c r="A111" s="2">
        <v>28395</v>
      </c>
      <c r="B111" s="2" t="s">
        <v>28</v>
      </c>
      <c r="C111" s="2" t="s">
        <v>16</v>
      </c>
      <c r="D111" s="6">
        <v>40000</v>
      </c>
      <c r="E111" s="2">
        <v>0</v>
      </c>
      <c r="F111" s="2" t="s">
        <v>18</v>
      </c>
      <c r="G111" s="2" t="s">
        <v>25</v>
      </c>
      <c r="H111" s="2" t="s">
        <v>26</v>
      </c>
      <c r="I111" s="2">
        <v>0</v>
      </c>
      <c r="J111" s="4" t="s">
        <v>21</v>
      </c>
      <c r="K111" s="2" t="s">
        <v>22</v>
      </c>
      <c r="L111" s="2">
        <v>39</v>
      </c>
      <c r="M111" t="str" cm="1">
        <f t="array" ref="M111">_xlfn.IFS(L111&lt;=35,"YOUNG_ADULTS",L111&lt;=55,"MIDDLE_AGED",L111&gt;55,"OLD-AGED")</f>
        <v>MIDDLE_AGED</v>
      </c>
      <c r="N111" s="2" t="s">
        <v>20</v>
      </c>
      <c r="O111" t="str" cm="1">
        <f t="array" ref="O111">_xlfn.IFS(D111&lt;=50000,"low income",D111&lt;=100000,"Mid income",D111&gt;100000,"High income")</f>
        <v>low income</v>
      </c>
      <c r="P111" t="str" cm="1">
        <f t="array" ref="P111">_xlfn.IFS(E111&lt;=2,"&lt;=2",E111&gt;2,"&gt;2")</f>
        <v>&lt;=2</v>
      </c>
    </row>
    <row r="112" spans="1:16">
      <c r="A112" s="2">
        <v>21006</v>
      </c>
      <c r="B112" s="2" t="s">
        <v>28</v>
      </c>
      <c r="C112" s="2" t="s">
        <v>17</v>
      </c>
      <c r="D112" s="6">
        <v>30000</v>
      </c>
      <c r="E112" s="2">
        <v>1</v>
      </c>
      <c r="F112" s="2" t="s">
        <v>23</v>
      </c>
      <c r="G112" s="2" t="s">
        <v>31</v>
      </c>
      <c r="H112" s="2" t="s">
        <v>26</v>
      </c>
      <c r="I112" s="2">
        <v>0</v>
      </c>
      <c r="J112" s="4" t="s">
        <v>21</v>
      </c>
      <c r="K112" s="2" t="s">
        <v>22</v>
      </c>
      <c r="L112" s="2">
        <v>46</v>
      </c>
      <c r="M112" t="str" cm="1">
        <f t="array" ref="M112">_xlfn.IFS(L112&lt;=35,"YOUNG_ADULTS",L112&lt;=55,"MIDDLE_AGED",L112&gt;55,"OLD-AGED")</f>
        <v>MIDDLE_AGED</v>
      </c>
      <c r="N112" s="2" t="s">
        <v>20</v>
      </c>
      <c r="O112" t="str" cm="1">
        <f t="array" ref="O112">_xlfn.IFS(D112&lt;=50000,"low income",D112&lt;=100000,"Mid income",D112&gt;100000,"High income")</f>
        <v>low income</v>
      </c>
      <c r="P112" t="str" cm="1">
        <f t="array" ref="P112">_xlfn.IFS(E112&lt;=2,"&lt;=2",E112&gt;2,"&gt;2")</f>
        <v>&lt;=2</v>
      </c>
    </row>
    <row r="113" spans="1:16">
      <c r="A113" s="2">
        <v>14682</v>
      </c>
      <c r="B113" s="2" t="s">
        <v>28</v>
      </c>
      <c r="C113" s="2" t="s">
        <v>17</v>
      </c>
      <c r="D113" s="6">
        <v>70000</v>
      </c>
      <c r="E113" s="2">
        <v>0</v>
      </c>
      <c r="F113" s="2" t="s">
        <v>18</v>
      </c>
      <c r="G113" s="2" t="s">
        <v>25</v>
      </c>
      <c r="H113" s="2" t="s">
        <v>26</v>
      </c>
      <c r="I113" s="2">
        <v>1</v>
      </c>
      <c r="J113" s="4" t="s">
        <v>29</v>
      </c>
      <c r="K113" s="2" t="s">
        <v>30</v>
      </c>
      <c r="L113" s="2">
        <v>38</v>
      </c>
      <c r="M113" t="str" cm="1">
        <f t="array" ref="M113">_xlfn.IFS(L113&lt;=35,"YOUNG_ADULTS",L113&lt;=55,"MIDDLE_AGED",L113&gt;55,"OLD-AGED")</f>
        <v>MIDDLE_AGED</v>
      </c>
      <c r="O113" t="str" cm="1">
        <f t="array" ref="O113">_xlfn.IFS(D113&lt;=50000,"low income",D113&lt;=100000,"Mid income",D113&gt;100000,"High income")</f>
        <v>Mid income</v>
      </c>
      <c r="P113" t="str" cm="1">
        <f t="array" ref="P113">_xlfn.IFS(E113&lt;=2,"&lt;=2",E113&gt;2,"&gt;2")</f>
        <v>&lt;=2</v>
      </c>
    </row>
    <row r="114" spans="1:16">
      <c r="A114" s="2">
        <v>17650</v>
      </c>
      <c r="B114" s="2" t="s">
        <v>28</v>
      </c>
      <c r="C114" s="2" t="s">
        <v>17</v>
      </c>
      <c r="D114" s="6">
        <v>40000</v>
      </c>
      <c r="E114" s="2">
        <v>2</v>
      </c>
      <c r="F114" s="2" t="s">
        <v>23</v>
      </c>
      <c r="G114" s="2" t="s">
        <v>24</v>
      </c>
      <c r="H114" s="2" t="s">
        <v>20</v>
      </c>
      <c r="I114" s="2">
        <v>2</v>
      </c>
      <c r="J114" s="4" t="s">
        <v>32</v>
      </c>
      <c r="K114" s="2" t="s">
        <v>22</v>
      </c>
      <c r="L114" s="2">
        <v>35</v>
      </c>
      <c r="M114" t="str" cm="1">
        <f t="array" ref="M114">_xlfn.IFS(L114&lt;=35,"YOUNG_ADULTS",L114&lt;=55,"MIDDLE_AGED",L114&gt;55,"OLD-AGED")</f>
        <v>YOUNG_ADULTS</v>
      </c>
      <c r="O114" t="str" cm="1">
        <f t="array" ref="O114">_xlfn.IFS(D114&lt;=50000,"low income",D114&lt;=100000,"Mid income",D114&gt;100000,"High income")</f>
        <v>low income</v>
      </c>
      <c r="P114" t="str" cm="1">
        <f t="array" ref="P114">_xlfn.IFS(E114&lt;=2,"&lt;=2",E114&gt;2,"&gt;2")</f>
        <v>&lt;=2</v>
      </c>
    </row>
    <row r="115" spans="1:16">
      <c r="A115" s="2">
        <v>29191</v>
      </c>
      <c r="B115" s="2" t="s">
        <v>28</v>
      </c>
      <c r="C115" s="2" t="s">
        <v>17</v>
      </c>
      <c r="D115" s="6">
        <v>130000</v>
      </c>
      <c r="E115" s="2">
        <v>1</v>
      </c>
      <c r="F115" s="2" t="s">
        <v>37</v>
      </c>
      <c r="G115" s="2" t="s">
        <v>34</v>
      </c>
      <c r="H115" s="2" t="s">
        <v>26</v>
      </c>
      <c r="I115" s="2">
        <v>1</v>
      </c>
      <c r="J115" s="4" t="s">
        <v>21</v>
      </c>
      <c r="K115" s="2" t="s">
        <v>30</v>
      </c>
      <c r="L115" s="2">
        <v>36</v>
      </c>
      <c r="M115" t="str" cm="1">
        <f t="array" ref="M115">_xlfn.IFS(L115&lt;=35,"YOUNG_ADULTS",L115&lt;=55,"MIDDLE_AGED",L115&gt;55,"OLD-AGED")</f>
        <v>MIDDLE_AGED</v>
      </c>
      <c r="N115" s="2" t="s">
        <v>20</v>
      </c>
      <c r="O115" t="str" cm="1">
        <f t="array" ref="O115">_xlfn.IFS(D115&lt;=50000,"low income",D115&lt;=100000,"Mid income",D115&gt;100000,"High income")</f>
        <v>High income</v>
      </c>
      <c r="P115" t="str" cm="1">
        <f t="array" ref="P115">_xlfn.IFS(E115&lt;=2,"&lt;=2",E115&gt;2,"&gt;2")</f>
        <v>&lt;=2</v>
      </c>
    </row>
    <row r="116" spans="1:16">
      <c r="A116" s="2">
        <v>15030</v>
      </c>
      <c r="B116" s="2" t="s">
        <v>16</v>
      </c>
      <c r="C116" s="2" t="s">
        <v>16</v>
      </c>
      <c r="D116" s="6">
        <v>20000</v>
      </c>
      <c r="E116" s="2">
        <v>0</v>
      </c>
      <c r="F116" s="2" t="s">
        <v>18</v>
      </c>
      <c r="G116" s="2" t="s">
        <v>24</v>
      </c>
      <c r="H116" s="2" t="s">
        <v>20</v>
      </c>
      <c r="I116" s="2">
        <v>0</v>
      </c>
      <c r="J116" s="4" t="s">
        <v>21</v>
      </c>
      <c r="K116" s="2" t="s">
        <v>30</v>
      </c>
      <c r="L116" s="2">
        <v>26</v>
      </c>
      <c r="M116" t="str" cm="1">
        <f t="array" ref="M116">_xlfn.IFS(L116&lt;=35,"YOUNG_ADULTS",L116&lt;=55,"MIDDLE_AGED",L116&gt;55,"OLD-AGED")</f>
        <v>YOUNG_ADULTS</v>
      </c>
      <c r="N116" s="2" t="s">
        <v>20</v>
      </c>
      <c r="O116" t="str" cm="1">
        <f t="array" ref="O116">_xlfn.IFS(D116&lt;=50000,"low income",D116&lt;=100000,"Mid income",D116&gt;100000,"High income")</f>
        <v>low income</v>
      </c>
      <c r="P116" t="str" cm="1">
        <f t="array" ref="P116">_xlfn.IFS(E116&lt;=2,"&lt;=2",E116&gt;2,"&gt;2")</f>
        <v>&lt;=2</v>
      </c>
    </row>
    <row r="117" spans="1:16">
      <c r="A117" s="2">
        <v>24140</v>
      </c>
      <c r="B117" s="2" t="s">
        <v>28</v>
      </c>
      <c r="C117" s="2" t="s">
        <v>16</v>
      </c>
      <c r="D117" s="6">
        <v>10000</v>
      </c>
      <c r="E117" s="2">
        <v>0</v>
      </c>
      <c r="F117" s="2" t="s">
        <v>37</v>
      </c>
      <c r="G117" s="2" t="s">
        <v>31</v>
      </c>
      <c r="H117" s="2" t="s">
        <v>26</v>
      </c>
      <c r="I117" s="2">
        <v>0</v>
      </c>
      <c r="J117" s="4" t="s">
        <v>21</v>
      </c>
      <c r="K117" s="2" t="s">
        <v>22</v>
      </c>
      <c r="L117" s="2">
        <v>30</v>
      </c>
      <c r="M117" t="str" cm="1">
        <f t="array" ref="M117">_xlfn.IFS(L117&lt;=35,"YOUNG_ADULTS",L117&lt;=55,"MIDDLE_AGED",L117&gt;55,"OLD-AGED")</f>
        <v>YOUNG_ADULTS</v>
      </c>
      <c r="N117" s="2" t="s">
        <v>20</v>
      </c>
      <c r="O117" t="str" cm="1">
        <f t="array" ref="O117">_xlfn.IFS(D117&lt;=50000,"low income",D117&lt;=100000,"Mid income",D117&gt;100000,"High income")</f>
        <v>low income</v>
      </c>
      <c r="P117" t="str" cm="1">
        <f t="array" ref="P117">_xlfn.IFS(E117&lt;=2,"&lt;=2",E117&gt;2,"&gt;2")</f>
        <v>&lt;=2</v>
      </c>
    </row>
    <row r="118" spans="1:16">
      <c r="A118" s="2">
        <v>22496</v>
      </c>
      <c r="B118" s="2" t="s">
        <v>16</v>
      </c>
      <c r="C118" s="2" t="s">
        <v>17</v>
      </c>
      <c r="D118" s="6">
        <v>30000</v>
      </c>
      <c r="E118" s="2">
        <v>1</v>
      </c>
      <c r="F118" s="2" t="s">
        <v>18</v>
      </c>
      <c r="G118" s="2" t="s">
        <v>19</v>
      </c>
      <c r="H118" s="2" t="s">
        <v>20</v>
      </c>
      <c r="I118" s="2">
        <v>2</v>
      </c>
      <c r="J118" s="4" t="s">
        <v>21</v>
      </c>
      <c r="K118" s="2" t="s">
        <v>22</v>
      </c>
      <c r="L118" s="2">
        <v>42</v>
      </c>
      <c r="M118" t="str" cm="1">
        <f t="array" ref="M118">_xlfn.IFS(L118&lt;=35,"YOUNG_ADULTS",L118&lt;=55,"MIDDLE_AGED",L118&gt;55,"OLD-AGED")</f>
        <v>MIDDLE_AGED</v>
      </c>
      <c r="O118" t="str" cm="1">
        <f t="array" ref="O118">_xlfn.IFS(D118&lt;=50000,"low income",D118&lt;=100000,"Mid income",D118&gt;100000,"High income")</f>
        <v>low income</v>
      </c>
      <c r="P118" t="str" cm="1">
        <f t="array" ref="P118">_xlfn.IFS(E118&lt;=2,"&lt;=2",E118&gt;2,"&gt;2")</f>
        <v>&lt;=2</v>
      </c>
    </row>
    <row r="119" spans="1:16">
      <c r="A119" s="2">
        <v>24065</v>
      </c>
      <c r="B119" s="2" t="s">
        <v>28</v>
      </c>
      <c r="C119" s="2" t="s">
        <v>17</v>
      </c>
      <c r="D119" s="6">
        <v>20000</v>
      </c>
      <c r="E119" s="2">
        <v>0</v>
      </c>
      <c r="F119" s="2" t="s">
        <v>33</v>
      </c>
      <c r="G119" s="2" t="s">
        <v>31</v>
      </c>
      <c r="H119" s="2" t="s">
        <v>20</v>
      </c>
      <c r="I119" s="2">
        <v>0</v>
      </c>
      <c r="J119" s="4" t="s">
        <v>21</v>
      </c>
      <c r="K119" s="2" t="s">
        <v>22</v>
      </c>
      <c r="L119" s="2">
        <v>40</v>
      </c>
      <c r="M119" t="str" cm="1">
        <f t="array" ref="M119">_xlfn.IFS(L119&lt;=35,"YOUNG_ADULTS",L119&lt;=55,"MIDDLE_AGED",L119&gt;55,"OLD-AGED")</f>
        <v>MIDDLE_AGED</v>
      </c>
      <c r="N119" s="2" t="s">
        <v>20</v>
      </c>
      <c r="O119" t="str" cm="1">
        <f t="array" ref="O119">_xlfn.IFS(D119&lt;=50000,"low income",D119&lt;=100000,"Mid income",D119&gt;100000,"High income")</f>
        <v>low income</v>
      </c>
      <c r="P119" t="str" cm="1">
        <f t="array" ref="P119">_xlfn.IFS(E119&lt;=2,"&lt;=2",E119&gt;2,"&gt;2")</f>
        <v>&lt;=2</v>
      </c>
    </row>
    <row r="120" spans="1:16">
      <c r="A120" s="2">
        <v>19914</v>
      </c>
      <c r="B120" s="2" t="s">
        <v>16</v>
      </c>
      <c r="C120" s="2" t="s">
        <v>16</v>
      </c>
      <c r="D120" s="6">
        <v>80000</v>
      </c>
      <c r="E120" s="2">
        <v>5</v>
      </c>
      <c r="F120" s="2" t="s">
        <v>18</v>
      </c>
      <c r="G120" s="2" t="s">
        <v>34</v>
      </c>
      <c r="H120" s="2" t="s">
        <v>20</v>
      </c>
      <c r="I120" s="2">
        <v>2</v>
      </c>
      <c r="J120" s="4" t="s">
        <v>27</v>
      </c>
      <c r="K120" s="2" t="s">
        <v>22</v>
      </c>
      <c r="L120" s="2">
        <v>62</v>
      </c>
      <c r="M120" t="str" cm="1">
        <f t="array" ref="M120">_xlfn.IFS(L120&lt;=35,"YOUNG_ADULTS",L120&lt;=55,"MIDDLE_AGED",L120&gt;55,"OLD-AGED")</f>
        <v>OLD-AGED</v>
      </c>
      <c r="O120" t="str" cm="1">
        <f t="array" ref="O120">_xlfn.IFS(D120&lt;=50000,"low income",D120&lt;=100000,"Mid income",D120&gt;100000,"High income")</f>
        <v>Mid income</v>
      </c>
      <c r="P120" t="str" cm="1">
        <f t="array" ref="P120">_xlfn.IFS(E120&lt;=2,"&lt;=2",E120&gt;2,"&gt;2")</f>
        <v>&gt;2</v>
      </c>
    </row>
    <row r="121" spans="1:16">
      <c r="A121" s="2">
        <v>12871</v>
      </c>
      <c r="B121" s="2" t="s">
        <v>28</v>
      </c>
      <c r="C121" s="2" t="s">
        <v>17</v>
      </c>
      <c r="D121" s="6">
        <v>30000</v>
      </c>
      <c r="E121" s="2">
        <v>0</v>
      </c>
      <c r="F121" s="2" t="s">
        <v>23</v>
      </c>
      <c r="G121" s="2" t="s">
        <v>24</v>
      </c>
      <c r="H121" s="2" t="s">
        <v>26</v>
      </c>
      <c r="I121" s="2">
        <v>1</v>
      </c>
      <c r="J121" s="4" t="s">
        <v>27</v>
      </c>
      <c r="K121" s="2" t="s">
        <v>22</v>
      </c>
      <c r="L121" s="2">
        <v>29</v>
      </c>
      <c r="M121" t="str" cm="1">
        <f t="array" ref="M121">_xlfn.IFS(L121&lt;=35,"YOUNG_ADULTS",L121&lt;=55,"MIDDLE_AGED",L121&gt;55,"OLD-AGED")</f>
        <v>YOUNG_ADULTS</v>
      </c>
      <c r="O121" t="str" cm="1">
        <f t="array" ref="O121">_xlfn.IFS(D121&lt;=50000,"low income",D121&lt;=100000,"Mid income",D121&gt;100000,"High income")</f>
        <v>low income</v>
      </c>
      <c r="P121" t="str" cm="1">
        <f t="array" ref="P121">_xlfn.IFS(E121&lt;=2,"&lt;=2",E121&gt;2,"&gt;2")</f>
        <v>&lt;=2</v>
      </c>
    </row>
    <row r="122" spans="1:16">
      <c r="A122" s="2">
        <v>22988</v>
      </c>
      <c r="B122" s="2" t="s">
        <v>16</v>
      </c>
      <c r="C122" s="2" t="s">
        <v>17</v>
      </c>
      <c r="D122" s="6">
        <v>40000</v>
      </c>
      <c r="E122" s="2">
        <v>2</v>
      </c>
      <c r="F122" s="2" t="s">
        <v>18</v>
      </c>
      <c r="G122" s="2" t="s">
        <v>34</v>
      </c>
      <c r="H122" s="2" t="s">
        <v>20</v>
      </c>
      <c r="I122" s="2">
        <v>2</v>
      </c>
      <c r="J122" s="4" t="s">
        <v>29</v>
      </c>
      <c r="K122" s="2" t="s">
        <v>30</v>
      </c>
      <c r="L122" s="2">
        <v>66</v>
      </c>
      <c r="M122" t="str" cm="1">
        <f t="array" ref="M122">_xlfn.IFS(L122&lt;=35,"YOUNG_ADULTS",L122&lt;=55,"MIDDLE_AGED",L122&gt;55,"OLD-AGED")</f>
        <v>OLD-AGED</v>
      </c>
      <c r="N122" s="2" t="s">
        <v>20</v>
      </c>
      <c r="O122" t="str" cm="1">
        <f t="array" ref="O122">_xlfn.IFS(D122&lt;=50000,"low income",D122&lt;=100000,"Mid income",D122&gt;100000,"High income")</f>
        <v>low income</v>
      </c>
      <c r="P122" t="str" cm="1">
        <f t="array" ref="P122">_xlfn.IFS(E122&lt;=2,"&lt;=2",E122&gt;2,"&gt;2")</f>
        <v>&lt;=2</v>
      </c>
    </row>
    <row r="123" spans="1:16">
      <c r="A123" s="2">
        <v>15922</v>
      </c>
      <c r="B123" s="2" t="s">
        <v>16</v>
      </c>
      <c r="C123" s="2" t="s">
        <v>16</v>
      </c>
      <c r="D123" s="6">
        <v>150000</v>
      </c>
      <c r="E123" s="2">
        <v>2</v>
      </c>
      <c r="F123" s="2" t="s">
        <v>33</v>
      </c>
      <c r="G123" s="2" t="s">
        <v>25</v>
      </c>
      <c r="H123" s="2" t="s">
        <v>20</v>
      </c>
      <c r="I123" s="2">
        <v>4</v>
      </c>
      <c r="J123" s="4" t="s">
        <v>21</v>
      </c>
      <c r="K123" s="2" t="s">
        <v>22</v>
      </c>
      <c r="L123" s="2">
        <v>48</v>
      </c>
      <c r="M123" t="str" cm="1">
        <f t="array" ref="M123">_xlfn.IFS(L123&lt;=35,"YOUNG_ADULTS",L123&lt;=55,"MIDDLE_AGED",L123&gt;55,"OLD-AGED")</f>
        <v>MIDDLE_AGED</v>
      </c>
      <c r="O123" t="str" cm="1">
        <f t="array" ref="O123">_xlfn.IFS(D123&lt;=50000,"low income",D123&lt;=100000,"Mid income",D123&gt;100000,"High income")</f>
        <v>High income</v>
      </c>
      <c r="P123" t="str" cm="1">
        <f t="array" ref="P123">_xlfn.IFS(E123&lt;=2,"&lt;=2",E123&gt;2,"&gt;2")</f>
        <v>&lt;=2</v>
      </c>
    </row>
    <row r="124" spans="1:16">
      <c r="A124" s="2">
        <v>12344</v>
      </c>
      <c r="B124" s="2" t="s">
        <v>28</v>
      </c>
      <c r="C124" s="2" t="s">
        <v>17</v>
      </c>
      <c r="D124" s="6">
        <v>80000</v>
      </c>
      <c r="E124" s="2">
        <v>0</v>
      </c>
      <c r="F124" s="2" t="s">
        <v>18</v>
      </c>
      <c r="G124" s="2" t="s">
        <v>25</v>
      </c>
      <c r="H124" s="2" t="s">
        <v>26</v>
      </c>
      <c r="I124" s="2">
        <v>3</v>
      </c>
      <c r="J124" s="4" t="s">
        <v>36</v>
      </c>
      <c r="K124" s="2" t="s">
        <v>30</v>
      </c>
      <c r="L124" s="2">
        <v>31</v>
      </c>
      <c r="M124" t="str" cm="1">
        <f t="array" ref="M124">_xlfn.IFS(L124&lt;=35,"YOUNG_ADULTS",L124&lt;=55,"MIDDLE_AGED",L124&gt;55,"OLD-AGED")</f>
        <v>YOUNG_ADULTS</v>
      </c>
      <c r="O124" t="str" cm="1">
        <f t="array" ref="O124">_xlfn.IFS(D124&lt;=50000,"low income",D124&lt;=100000,"Mid income",D124&gt;100000,"High income")</f>
        <v>Mid income</v>
      </c>
      <c r="P124" t="str" cm="1">
        <f t="array" ref="P124">_xlfn.IFS(E124&lt;=2,"&lt;=2",E124&gt;2,"&gt;2")</f>
        <v>&lt;=2</v>
      </c>
    </row>
    <row r="125" spans="1:16">
      <c r="A125" s="2">
        <v>23627</v>
      </c>
      <c r="B125" s="2" t="s">
        <v>28</v>
      </c>
      <c r="C125" s="2" t="s">
        <v>17</v>
      </c>
      <c r="D125" s="6">
        <v>100000</v>
      </c>
      <c r="E125" s="2">
        <v>3</v>
      </c>
      <c r="F125" s="2" t="s">
        <v>23</v>
      </c>
      <c r="G125" s="2" t="s">
        <v>34</v>
      </c>
      <c r="H125" s="2" t="s">
        <v>26</v>
      </c>
      <c r="I125" s="2">
        <v>4</v>
      </c>
      <c r="J125" s="4" t="s">
        <v>29</v>
      </c>
      <c r="K125" s="2" t="s">
        <v>22</v>
      </c>
      <c r="L125" s="2">
        <v>56</v>
      </c>
      <c r="M125" t="str" cm="1">
        <f t="array" ref="M125">_xlfn.IFS(L125&lt;=35,"YOUNG_ADULTS",L125&lt;=55,"MIDDLE_AGED",L125&gt;55,"OLD-AGED")</f>
        <v>OLD-AGED</v>
      </c>
      <c r="O125" t="str" cm="1">
        <f t="array" ref="O125">_xlfn.IFS(D125&lt;=50000,"low income",D125&lt;=100000,"Mid income",D125&gt;100000,"High income")</f>
        <v>Mid income</v>
      </c>
      <c r="P125" t="str" cm="1">
        <f t="array" ref="P125">_xlfn.IFS(E125&lt;=2,"&lt;=2",E125&gt;2,"&gt;2")</f>
        <v>&gt;2</v>
      </c>
    </row>
    <row r="126" spans="1:16">
      <c r="A126" s="2">
        <v>27775</v>
      </c>
      <c r="B126" s="2" t="s">
        <v>28</v>
      </c>
      <c r="C126" s="2" t="s">
        <v>17</v>
      </c>
      <c r="D126" s="6">
        <v>40000</v>
      </c>
      <c r="E126" s="2">
        <v>0</v>
      </c>
      <c r="F126" s="2" t="s">
        <v>18</v>
      </c>
      <c r="G126" s="2" t="s">
        <v>24</v>
      </c>
      <c r="H126" s="2" t="s">
        <v>26</v>
      </c>
      <c r="I126" s="2">
        <v>0</v>
      </c>
      <c r="J126" s="4" t="s">
        <v>21</v>
      </c>
      <c r="K126" s="2" t="s">
        <v>22</v>
      </c>
      <c r="L126" s="2">
        <v>38</v>
      </c>
      <c r="M126" t="str" cm="1">
        <f t="array" ref="M126">_xlfn.IFS(L126&lt;=35,"YOUNG_ADULTS",L126&lt;=55,"MIDDLE_AGED",L126&gt;55,"OLD-AGED")</f>
        <v>MIDDLE_AGED</v>
      </c>
      <c r="N126" s="2" t="s">
        <v>20</v>
      </c>
      <c r="O126" t="str" cm="1">
        <f t="array" ref="O126">_xlfn.IFS(D126&lt;=50000,"low income",D126&lt;=100000,"Mid income",D126&gt;100000,"High income")</f>
        <v>low income</v>
      </c>
      <c r="P126" t="str" cm="1">
        <f t="array" ref="P126">_xlfn.IFS(E126&lt;=2,"&lt;=2",E126&gt;2,"&gt;2")</f>
        <v>&lt;=2</v>
      </c>
    </row>
    <row r="127" spans="1:16">
      <c r="A127" s="2">
        <v>29301</v>
      </c>
      <c r="B127" s="2" t="s">
        <v>16</v>
      </c>
      <c r="C127" s="2" t="s">
        <v>16</v>
      </c>
      <c r="D127" s="6">
        <v>80000</v>
      </c>
      <c r="E127" s="2">
        <v>5</v>
      </c>
      <c r="F127" s="2" t="s">
        <v>18</v>
      </c>
      <c r="G127" s="2" t="s">
        <v>25</v>
      </c>
      <c r="H127" s="2" t="s">
        <v>20</v>
      </c>
      <c r="I127" s="2">
        <v>4</v>
      </c>
      <c r="J127" s="4" t="s">
        <v>32</v>
      </c>
      <c r="K127" s="2" t="s">
        <v>30</v>
      </c>
      <c r="L127" s="2">
        <v>40</v>
      </c>
      <c r="M127" t="str" cm="1">
        <f t="array" ref="M127">_xlfn.IFS(L127&lt;=35,"YOUNG_ADULTS",L127&lt;=55,"MIDDLE_AGED",L127&gt;55,"OLD-AGED")</f>
        <v>MIDDLE_AGED</v>
      </c>
      <c r="O127" t="str" cm="1">
        <f t="array" ref="O127">_xlfn.IFS(D127&lt;=50000,"low income",D127&lt;=100000,"Mid income",D127&gt;100000,"High income")</f>
        <v>Mid income</v>
      </c>
      <c r="P127" t="str" cm="1">
        <f t="array" ref="P127">_xlfn.IFS(E127&lt;=2,"&lt;=2",E127&gt;2,"&gt;2")</f>
        <v>&gt;2</v>
      </c>
    </row>
    <row r="128" spans="1:16">
      <c r="A128" s="2">
        <v>12716</v>
      </c>
      <c r="B128" s="2" t="s">
        <v>28</v>
      </c>
      <c r="C128" s="2" t="s">
        <v>16</v>
      </c>
      <c r="D128" s="6">
        <v>30000</v>
      </c>
      <c r="E128" s="2">
        <v>0</v>
      </c>
      <c r="F128" s="2" t="s">
        <v>23</v>
      </c>
      <c r="G128" s="2" t="s">
        <v>24</v>
      </c>
      <c r="H128" s="2" t="s">
        <v>20</v>
      </c>
      <c r="I128" s="2">
        <v>1</v>
      </c>
      <c r="J128" s="4" t="s">
        <v>27</v>
      </c>
      <c r="K128" s="2" t="s">
        <v>22</v>
      </c>
      <c r="L128" s="2">
        <v>32</v>
      </c>
      <c r="M128" t="str" cm="1">
        <f t="array" ref="M128">_xlfn.IFS(L128&lt;=35,"YOUNG_ADULTS",L128&lt;=55,"MIDDLE_AGED",L128&gt;55,"OLD-AGED")</f>
        <v>YOUNG_ADULTS</v>
      </c>
      <c r="O128" t="str" cm="1">
        <f t="array" ref="O128">_xlfn.IFS(D128&lt;=50000,"low income",D128&lt;=100000,"Mid income",D128&gt;100000,"High income")</f>
        <v>low income</v>
      </c>
      <c r="P128" t="str" cm="1">
        <f t="array" ref="P128">_xlfn.IFS(E128&lt;=2,"&lt;=2",E128&gt;2,"&gt;2")</f>
        <v>&lt;=2</v>
      </c>
    </row>
    <row r="129" spans="1:16">
      <c r="A129" s="2">
        <v>12472</v>
      </c>
      <c r="B129" s="2" t="s">
        <v>16</v>
      </c>
      <c r="C129" s="2" t="s">
        <v>16</v>
      </c>
      <c r="D129" s="6">
        <v>30000</v>
      </c>
      <c r="E129" s="2">
        <v>1</v>
      </c>
      <c r="F129" s="2" t="s">
        <v>18</v>
      </c>
      <c r="G129" s="2" t="s">
        <v>24</v>
      </c>
      <c r="H129" s="2" t="s">
        <v>20</v>
      </c>
      <c r="I129" s="2">
        <v>1</v>
      </c>
      <c r="J129" s="4" t="s">
        <v>27</v>
      </c>
      <c r="K129" s="2" t="s">
        <v>22</v>
      </c>
      <c r="L129" s="2">
        <v>39</v>
      </c>
      <c r="M129" t="str" cm="1">
        <f t="array" ref="M129">_xlfn.IFS(L129&lt;=35,"YOUNG_ADULTS",L129&lt;=55,"MIDDLE_AGED",L129&gt;55,"OLD-AGED")</f>
        <v>MIDDLE_AGED</v>
      </c>
      <c r="O129" t="str" cm="1">
        <f t="array" ref="O129">_xlfn.IFS(D129&lt;=50000,"low income",D129&lt;=100000,"Mid income",D129&gt;100000,"High income")</f>
        <v>low income</v>
      </c>
      <c r="P129" t="str" cm="1">
        <f t="array" ref="P129">_xlfn.IFS(E129&lt;=2,"&lt;=2",E129&gt;2,"&gt;2")</f>
        <v>&lt;=2</v>
      </c>
    </row>
    <row r="130" spans="1:16">
      <c r="A130" s="2">
        <v>20970</v>
      </c>
      <c r="B130" s="2" t="s">
        <v>28</v>
      </c>
      <c r="C130" s="2" t="s">
        <v>16</v>
      </c>
      <c r="D130" s="6">
        <v>10000</v>
      </c>
      <c r="E130" s="2">
        <v>2</v>
      </c>
      <c r="F130" s="2" t="s">
        <v>23</v>
      </c>
      <c r="G130" s="2" t="s">
        <v>31</v>
      </c>
      <c r="H130" s="2" t="s">
        <v>20</v>
      </c>
      <c r="I130" s="2">
        <v>1</v>
      </c>
      <c r="J130" s="4" t="s">
        <v>21</v>
      </c>
      <c r="K130" s="2" t="s">
        <v>22</v>
      </c>
      <c r="L130" s="2">
        <v>52</v>
      </c>
      <c r="M130" t="str" cm="1">
        <f t="array" ref="M130">_xlfn.IFS(L130&lt;=35,"YOUNG_ADULTS",L130&lt;=55,"MIDDLE_AGED",L130&gt;55,"OLD-AGED")</f>
        <v>MIDDLE_AGED</v>
      </c>
      <c r="N130" s="2" t="s">
        <v>20</v>
      </c>
      <c r="O130" t="str" cm="1">
        <f t="array" ref="O130">_xlfn.IFS(D130&lt;=50000,"low income",D130&lt;=100000,"Mid income",D130&gt;100000,"High income")</f>
        <v>low income</v>
      </c>
      <c r="P130" t="str" cm="1">
        <f t="array" ref="P130">_xlfn.IFS(E130&lt;=2,"&lt;=2",E130&gt;2,"&gt;2")</f>
        <v>&lt;=2</v>
      </c>
    </row>
    <row r="131" spans="1:16">
      <c r="A131" s="2">
        <v>26818</v>
      </c>
      <c r="B131" s="2" t="s">
        <v>28</v>
      </c>
      <c r="C131" s="2" t="s">
        <v>16</v>
      </c>
      <c r="D131" s="6">
        <v>10000</v>
      </c>
      <c r="E131" s="2">
        <v>3</v>
      </c>
      <c r="F131" s="2" t="s">
        <v>33</v>
      </c>
      <c r="G131" s="2" t="s">
        <v>31</v>
      </c>
      <c r="H131" s="2" t="s">
        <v>20</v>
      </c>
      <c r="I131" s="2">
        <v>1</v>
      </c>
      <c r="J131" s="4" t="s">
        <v>21</v>
      </c>
      <c r="K131" s="2" t="s">
        <v>22</v>
      </c>
      <c r="L131" s="2">
        <v>39</v>
      </c>
      <c r="M131" t="str" cm="1">
        <f t="array" ref="M131">_xlfn.IFS(L131&lt;=35,"YOUNG_ADULTS",L131&lt;=55,"MIDDLE_AGED",L131&gt;55,"OLD-AGED")</f>
        <v>MIDDLE_AGED</v>
      </c>
      <c r="N131" s="2" t="s">
        <v>20</v>
      </c>
      <c r="O131" t="str" cm="1">
        <f t="array" ref="O131">_xlfn.IFS(D131&lt;=50000,"low income",D131&lt;=100000,"Mid income",D131&gt;100000,"High income")</f>
        <v>low income</v>
      </c>
      <c r="P131" t="str" cm="1">
        <f t="array" ref="P131">_xlfn.IFS(E131&lt;=2,"&lt;=2",E131&gt;2,"&gt;2")</f>
        <v>&gt;2</v>
      </c>
    </row>
    <row r="132" spans="1:16">
      <c r="A132" s="2">
        <v>12993</v>
      </c>
      <c r="B132" s="2" t="s">
        <v>16</v>
      </c>
      <c r="C132" s="2" t="s">
        <v>16</v>
      </c>
      <c r="D132" s="6">
        <v>60000</v>
      </c>
      <c r="E132" s="2">
        <v>2</v>
      </c>
      <c r="F132" s="2" t="s">
        <v>18</v>
      </c>
      <c r="G132" s="2" t="s">
        <v>25</v>
      </c>
      <c r="H132" s="2" t="s">
        <v>20</v>
      </c>
      <c r="I132" s="2">
        <v>1</v>
      </c>
      <c r="J132" s="4" t="s">
        <v>27</v>
      </c>
      <c r="K132" s="2" t="s">
        <v>30</v>
      </c>
      <c r="L132" s="2">
        <v>37</v>
      </c>
      <c r="M132" t="str" cm="1">
        <f t="array" ref="M132">_xlfn.IFS(L132&lt;=35,"YOUNG_ADULTS",L132&lt;=55,"MIDDLE_AGED",L132&gt;55,"OLD-AGED")</f>
        <v>MIDDLE_AGED</v>
      </c>
      <c r="O132" t="str" cm="1">
        <f t="array" ref="O132">_xlfn.IFS(D132&lt;=50000,"low income",D132&lt;=100000,"Mid income",D132&gt;100000,"High income")</f>
        <v>Mid income</v>
      </c>
      <c r="P132" t="str" cm="1">
        <f t="array" ref="P132">_xlfn.IFS(E132&lt;=2,"&lt;=2",E132&gt;2,"&gt;2")</f>
        <v>&lt;=2</v>
      </c>
    </row>
    <row r="133" spans="1:16">
      <c r="A133" s="2">
        <v>14192</v>
      </c>
      <c r="B133" s="2" t="s">
        <v>16</v>
      </c>
      <c r="C133" s="2" t="s">
        <v>16</v>
      </c>
      <c r="D133" s="6">
        <v>90000</v>
      </c>
      <c r="E133" s="2">
        <v>4</v>
      </c>
      <c r="F133" s="2" t="s">
        <v>33</v>
      </c>
      <c r="G133" s="2" t="s">
        <v>34</v>
      </c>
      <c r="H133" s="2" t="s">
        <v>20</v>
      </c>
      <c r="I133" s="2">
        <v>3</v>
      </c>
      <c r="J133" s="4" t="s">
        <v>29</v>
      </c>
      <c r="K133" s="2" t="s">
        <v>22</v>
      </c>
      <c r="L133" s="2">
        <v>56</v>
      </c>
      <c r="M133" t="str" cm="1">
        <f t="array" ref="M133">_xlfn.IFS(L133&lt;=35,"YOUNG_ADULTS",L133&lt;=55,"MIDDLE_AGED",L133&gt;55,"OLD-AGED")</f>
        <v>OLD-AGED</v>
      </c>
      <c r="N133" s="2" t="s">
        <v>20</v>
      </c>
      <c r="O133" t="str" cm="1">
        <f t="array" ref="O133">_xlfn.IFS(D133&lt;=50000,"low income",D133&lt;=100000,"Mid income",D133&gt;100000,"High income")</f>
        <v>Mid income</v>
      </c>
      <c r="P133" t="str" cm="1">
        <f t="array" ref="P133">_xlfn.IFS(E133&lt;=2,"&lt;=2",E133&gt;2,"&gt;2")</f>
        <v>&gt;2</v>
      </c>
    </row>
    <row r="134" spans="1:16">
      <c r="A134" s="2">
        <v>19477</v>
      </c>
      <c r="B134" s="2" t="s">
        <v>16</v>
      </c>
      <c r="C134" s="2" t="s">
        <v>16</v>
      </c>
      <c r="D134" s="6">
        <v>40000</v>
      </c>
      <c r="E134" s="2">
        <v>0</v>
      </c>
      <c r="F134" s="2" t="s">
        <v>18</v>
      </c>
      <c r="G134" s="2" t="s">
        <v>25</v>
      </c>
      <c r="H134" s="2" t="s">
        <v>20</v>
      </c>
      <c r="I134" s="2">
        <v>0</v>
      </c>
      <c r="J134" s="4" t="s">
        <v>21</v>
      </c>
      <c r="K134" s="2" t="s">
        <v>22</v>
      </c>
      <c r="L134" s="2">
        <v>40</v>
      </c>
      <c r="M134" t="str" cm="1">
        <f t="array" ref="M134">_xlfn.IFS(L134&lt;=35,"YOUNG_ADULTS",L134&lt;=55,"MIDDLE_AGED",L134&gt;55,"OLD-AGED")</f>
        <v>MIDDLE_AGED</v>
      </c>
      <c r="N134" s="2" t="s">
        <v>20</v>
      </c>
      <c r="O134" t="str" cm="1">
        <f t="array" ref="O134">_xlfn.IFS(D134&lt;=50000,"low income",D134&lt;=100000,"Mid income",D134&gt;100000,"High income")</f>
        <v>low income</v>
      </c>
      <c r="P134" t="str" cm="1">
        <f t="array" ref="P134">_xlfn.IFS(E134&lt;=2,"&lt;=2",E134&gt;2,"&gt;2")</f>
        <v>&lt;=2</v>
      </c>
    </row>
    <row r="135" spans="1:16">
      <c r="A135" s="2">
        <v>26796</v>
      </c>
      <c r="B135" s="2" t="s">
        <v>28</v>
      </c>
      <c r="C135" s="2" t="s">
        <v>16</v>
      </c>
      <c r="D135" s="6">
        <v>40000</v>
      </c>
      <c r="E135" s="2">
        <v>2</v>
      </c>
      <c r="F135" s="2" t="s">
        <v>18</v>
      </c>
      <c r="G135" s="2" t="s">
        <v>34</v>
      </c>
      <c r="H135" s="2" t="s">
        <v>20</v>
      </c>
      <c r="I135" s="2">
        <v>2</v>
      </c>
      <c r="J135" s="4" t="s">
        <v>29</v>
      </c>
      <c r="K135" s="2" t="s">
        <v>30</v>
      </c>
      <c r="L135" s="2">
        <v>65</v>
      </c>
      <c r="M135" t="str" cm="1">
        <f t="array" ref="M135">_xlfn.IFS(L135&lt;=35,"YOUNG_ADULTS",L135&lt;=55,"MIDDLE_AGED",L135&gt;55,"OLD-AGED")</f>
        <v>OLD-AGED</v>
      </c>
      <c r="N135" s="2" t="s">
        <v>20</v>
      </c>
      <c r="O135" t="str" cm="1">
        <f t="array" ref="O135">_xlfn.IFS(D135&lt;=50000,"low income",D135&lt;=100000,"Mid income",D135&gt;100000,"High income")</f>
        <v>low income</v>
      </c>
      <c r="P135" t="str" cm="1">
        <f t="array" ref="P135">_xlfn.IFS(E135&lt;=2,"&lt;=2",E135&gt;2,"&gt;2")</f>
        <v>&lt;=2</v>
      </c>
    </row>
    <row r="136" spans="1:16">
      <c r="A136" s="2">
        <v>21094</v>
      </c>
      <c r="B136" s="2" t="s">
        <v>28</v>
      </c>
      <c r="C136" s="2" t="s">
        <v>17</v>
      </c>
      <c r="D136" s="6">
        <v>30000</v>
      </c>
      <c r="E136" s="2">
        <v>2</v>
      </c>
      <c r="F136" s="2" t="s">
        <v>23</v>
      </c>
      <c r="G136" s="2" t="s">
        <v>24</v>
      </c>
      <c r="H136" s="2" t="s">
        <v>20</v>
      </c>
      <c r="I136" s="2">
        <v>2</v>
      </c>
      <c r="J136" s="4" t="s">
        <v>21</v>
      </c>
      <c r="K136" s="2" t="s">
        <v>22</v>
      </c>
      <c r="L136" s="2">
        <v>42</v>
      </c>
      <c r="M136" t="str" cm="1">
        <f t="array" ref="M136">_xlfn.IFS(L136&lt;=35,"YOUNG_ADULTS",L136&lt;=55,"MIDDLE_AGED",L136&gt;55,"OLD-AGED")</f>
        <v>MIDDLE_AGED</v>
      </c>
      <c r="O136" t="str" cm="1">
        <f t="array" ref="O136">_xlfn.IFS(D136&lt;=50000,"low income",D136&lt;=100000,"Mid income",D136&gt;100000,"High income")</f>
        <v>low income</v>
      </c>
      <c r="P136" t="str" cm="1">
        <f t="array" ref="P136">_xlfn.IFS(E136&lt;=2,"&lt;=2",E136&gt;2,"&gt;2")</f>
        <v>&lt;=2</v>
      </c>
    </row>
    <row r="137" spans="1:16">
      <c r="A137" s="2">
        <v>12234</v>
      </c>
      <c r="B137" s="2" t="s">
        <v>16</v>
      </c>
      <c r="C137" s="2" t="s">
        <v>16</v>
      </c>
      <c r="D137" s="6">
        <v>10000</v>
      </c>
      <c r="E137" s="2">
        <v>2</v>
      </c>
      <c r="F137" s="2" t="s">
        <v>23</v>
      </c>
      <c r="G137" s="2" t="s">
        <v>31</v>
      </c>
      <c r="H137" s="2" t="s">
        <v>20</v>
      </c>
      <c r="I137" s="2">
        <v>1</v>
      </c>
      <c r="J137" s="4" t="s">
        <v>27</v>
      </c>
      <c r="K137" s="2" t="s">
        <v>22</v>
      </c>
      <c r="L137" s="2">
        <v>52</v>
      </c>
      <c r="M137" t="str" cm="1">
        <f t="array" ref="M137">_xlfn.IFS(L137&lt;=35,"YOUNG_ADULTS",L137&lt;=55,"MIDDLE_AGED",L137&gt;55,"OLD-AGED")</f>
        <v>MIDDLE_AGED</v>
      </c>
      <c r="O137" t="str" cm="1">
        <f t="array" ref="O137">_xlfn.IFS(D137&lt;=50000,"low income",D137&lt;=100000,"Mid income",D137&gt;100000,"High income")</f>
        <v>low income</v>
      </c>
      <c r="P137" t="str" cm="1">
        <f t="array" ref="P137">_xlfn.IFS(E137&lt;=2,"&lt;=2",E137&gt;2,"&gt;2")</f>
        <v>&lt;=2</v>
      </c>
    </row>
    <row r="138" spans="1:16">
      <c r="A138" s="2">
        <v>28683</v>
      </c>
      <c r="B138" s="2" t="s">
        <v>28</v>
      </c>
      <c r="C138" s="2" t="s">
        <v>17</v>
      </c>
      <c r="D138" s="6">
        <v>10000</v>
      </c>
      <c r="E138" s="2">
        <v>1</v>
      </c>
      <c r="F138" s="2" t="s">
        <v>33</v>
      </c>
      <c r="G138" s="2" t="s">
        <v>31</v>
      </c>
      <c r="H138" s="2" t="s">
        <v>26</v>
      </c>
      <c r="I138" s="2">
        <v>1</v>
      </c>
      <c r="J138" s="4" t="s">
        <v>29</v>
      </c>
      <c r="K138" s="2" t="s">
        <v>22</v>
      </c>
      <c r="L138" s="2">
        <v>35</v>
      </c>
      <c r="M138" t="str" cm="1">
        <f t="array" ref="M138">_xlfn.IFS(L138&lt;=35,"YOUNG_ADULTS",L138&lt;=55,"MIDDLE_AGED",L138&gt;55,"OLD-AGED")</f>
        <v>YOUNG_ADULTS</v>
      </c>
      <c r="N138" s="2" t="s">
        <v>20</v>
      </c>
      <c r="O138" t="str" cm="1">
        <f t="array" ref="O138">_xlfn.IFS(D138&lt;=50000,"low income",D138&lt;=100000,"Mid income",D138&gt;100000,"High income")</f>
        <v>low income</v>
      </c>
      <c r="P138" t="str" cm="1">
        <f t="array" ref="P138">_xlfn.IFS(E138&lt;=2,"&lt;=2",E138&gt;2,"&gt;2")</f>
        <v>&lt;=2</v>
      </c>
    </row>
    <row r="139" spans="1:16">
      <c r="A139" s="2">
        <v>17994</v>
      </c>
      <c r="B139" s="2" t="s">
        <v>28</v>
      </c>
      <c r="C139" s="2" t="s">
        <v>16</v>
      </c>
      <c r="D139" s="6">
        <v>20000</v>
      </c>
      <c r="E139" s="2">
        <v>2</v>
      </c>
      <c r="F139" s="2" t="s">
        <v>33</v>
      </c>
      <c r="G139" s="2" t="s">
        <v>31</v>
      </c>
      <c r="H139" s="2" t="s">
        <v>20</v>
      </c>
      <c r="I139" s="2">
        <v>2</v>
      </c>
      <c r="J139" s="4" t="s">
        <v>21</v>
      </c>
      <c r="K139" s="2" t="s">
        <v>22</v>
      </c>
      <c r="L139" s="2">
        <v>42</v>
      </c>
      <c r="M139" t="str" cm="1">
        <f t="array" ref="M139">_xlfn.IFS(L139&lt;=35,"YOUNG_ADULTS",L139&lt;=55,"MIDDLE_AGED",L139&gt;55,"OLD-AGED")</f>
        <v>MIDDLE_AGED</v>
      </c>
      <c r="O139" t="str" cm="1">
        <f t="array" ref="O139">_xlfn.IFS(D139&lt;=50000,"low income",D139&lt;=100000,"Mid income",D139&gt;100000,"High income")</f>
        <v>low income</v>
      </c>
      <c r="P139" t="str" cm="1">
        <f t="array" ref="P139">_xlfn.IFS(E139&lt;=2,"&lt;=2",E139&gt;2,"&gt;2")</f>
        <v>&lt;=2</v>
      </c>
    </row>
    <row r="140" spans="1:16">
      <c r="A140" s="2">
        <v>24273</v>
      </c>
      <c r="B140" s="2" t="s">
        <v>16</v>
      </c>
      <c r="C140" s="2" t="s">
        <v>17</v>
      </c>
      <c r="D140" s="6">
        <v>20000</v>
      </c>
      <c r="E140" s="2">
        <v>2</v>
      </c>
      <c r="F140" s="2" t="s">
        <v>35</v>
      </c>
      <c r="G140" s="2" t="s">
        <v>24</v>
      </c>
      <c r="H140" s="2" t="s">
        <v>20</v>
      </c>
      <c r="I140" s="2">
        <v>2</v>
      </c>
      <c r="J140" s="4" t="s">
        <v>29</v>
      </c>
      <c r="K140" s="2" t="s">
        <v>30</v>
      </c>
      <c r="L140" s="2">
        <v>55</v>
      </c>
      <c r="M140" t="str" cm="1">
        <f t="array" ref="M140">_xlfn.IFS(L140&lt;=35,"YOUNG_ADULTS",L140&lt;=55,"MIDDLE_AGED",L140&gt;55,"OLD-AGED")</f>
        <v>MIDDLE_AGED</v>
      </c>
      <c r="N140" s="2" t="s">
        <v>20</v>
      </c>
      <c r="O140" t="str" cm="1">
        <f t="array" ref="O140">_xlfn.IFS(D140&lt;=50000,"low income",D140&lt;=100000,"Mid income",D140&gt;100000,"High income")</f>
        <v>low income</v>
      </c>
      <c r="P140" t="str" cm="1">
        <f t="array" ref="P140">_xlfn.IFS(E140&lt;=2,"&lt;=2",E140&gt;2,"&gt;2")</f>
        <v>&lt;=2</v>
      </c>
    </row>
    <row r="141" spans="1:16">
      <c r="A141" s="2">
        <v>26547</v>
      </c>
      <c r="B141" s="2" t="s">
        <v>28</v>
      </c>
      <c r="C141" s="2" t="s">
        <v>17</v>
      </c>
      <c r="D141" s="6">
        <v>30000</v>
      </c>
      <c r="E141" s="2">
        <v>2</v>
      </c>
      <c r="F141" s="2" t="s">
        <v>23</v>
      </c>
      <c r="G141" s="2" t="s">
        <v>24</v>
      </c>
      <c r="H141" s="2" t="s">
        <v>26</v>
      </c>
      <c r="I141" s="2">
        <v>2</v>
      </c>
      <c r="J141" s="4" t="s">
        <v>29</v>
      </c>
      <c r="K141" s="2" t="s">
        <v>30</v>
      </c>
      <c r="L141" s="2">
        <v>60</v>
      </c>
      <c r="M141" t="str" cm="1">
        <f t="array" ref="M141">_xlfn.IFS(L141&lt;=35,"YOUNG_ADULTS",L141&lt;=55,"MIDDLE_AGED",L141&gt;55,"OLD-AGED")</f>
        <v>OLD-AGED</v>
      </c>
      <c r="N141" s="2" t="s">
        <v>20</v>
      </c>
      <c r="O141" t="str" cm="1">
        <f t="array" ref="O141">_xlfn.IFS(D141&lt;=50000,"low income",D141&lt;=100000,"Mid income",D141&gt;100000,"High income")</f>
        <v>low income</v>
      </c>
      <c r="P141" t="str" cm="1">
        <f t="array" ref="P141">_xlfn.IFS(E141&lt;=2,"&lt;=2",E141&gt;2,"&gt;2")</f>
        <v>&lt;=2</v>
      </c>
    </row>
    <row r="142" spans="1:16">
      <c r="A142" s="2">
        <v>22500</v>
      </c>
      <c r="B142" s="2" t="s">
        <v>28</v>
      </c>
      <c r="C142" s="2" t="s">
        <v>16</v>
      </c>
      <c r="D142" s="6">
        <v>40000</v>
      </c>
      <c r="E142" s="2">
        <v>0</v>
      </c>
      <c r="F142" s="2" t="s">
        <v>18</v>
      </c>
      <c r="G142" s="2" t="s">
        <v>25</v>
      </c>
      <c r="H142" s="2" t="s">
        <v>26</v>
      </c>
      <c r="I142" s="2">
        <v>0</v>
      </c>
      <c r="J142" s="4" t="s">
        <v>21</v>
      </c>
      <c r="K142" s="2" t="s">
        <v>22</v>
      </c>
      <c r="L142" s="2">
        <v>40</v>
      </c>
      <c r="M142" t="str" cm="1">
        <f t="array" ref="M142">_xlfn.IFS(L142&lt;=35,"YOUNG_ADULTS",L142&lt;=55,"MIDDLE_AGED",L142&gt;55,"OLD-AGED")</f>
        <v>MIDDLE_AGED</v>
      </c>
      <c r="N142" s="2" t="s">
        <v>20</v>
      </c>
      <c r="O142" t="str" cm="1">
        <f t="array" ref="O142">_xlfn.IFS(D142&lt;=50000,"low income",D142&lt;=100000,"Mid income",D142&gt;100000,"High income")</f>
        <v>low income</v>
      </c>
      <c r="P142" t="str" cm="1">
        <f t="array" ref="P142">_xlfn.IFS(E142&lt;=2,"&lt;=2",E142&gt;2,"&gt;2")</f>
        <v>&lt;=2</v>
      </c>
    </row>
    <row r="143" spans="1:16">
      <c r="A143" s="2">
        <v>23993</v>
      </c>
      <c r="B143" s="2" t="s">
        <v>28</v>
      </c>
      <c r="C143" s="2" t="s">
        <v>17</v>
      </c>
      <c r="D143" s="6">
        <v>10000</v>
      </c>
      <c r="E143" s="2">
        <v>0</v>
      </c>
      <c r="F143" s="2" t="s">
        <v>23</v>
      </c>
      <c r="G143" s="2" t="s">
        <v>31</v>
      </c>
      <c r="H143" s="2" t="s">
        <v>26</v>
      </c>
      <c r="I143" s="2">
        <v>1</v>
      </c>
      <c r="J143" s="4" t="s">
        <v>21</v>
      </c>
      <c r="K143" s="2" t="s">
        <v>30</v>
      </c>
      <c r="L143" s="2">
        <v>26</v>
      </c>
      <c r="M143" t="str" cm="1">
        <f t="array" ref="M143">_xlfn.IFS(L143&lt;=35,"YOUNG_ADULTS",L143&lt;=55,"MIDDLE_AGED",L143&gt;55,"OLD-AGED")</f>
        <v>YOUNG_ADULTS</v>
      </c>
      <c r="N143" s="2" t="s">
        <v>20</v>
      </c>
      <c r="O143" t="str" cm="1">
        <f t="array" ref="O143">_xlfn.IFS(D143&lt;=50000,"low income",D143&lt;=100000,"Mid income",D143&gt;100000,"High income")</f>
        <v>low income</v>
      </c>
      <c r="P143" t="str" cm="1">
        <f t="array" ref="P143">_xlfn.IFS(E143&lt;=2,"&lt;=2",E143&gt;2,"&gt;2")</f>
        <v>&lt;=2</v>
      </c>
    </row>
    <row r="144" spans="1:16">
      <c r="A144" s="2">
        <v>14832</v>
      </c>
      <c r="B144" s="2" t="s">
        <v>16</v>
      </c>
      <c r="C144" s="2" t="s">
        <v>16</v>
      </c>
      <c r="D144" s="6">
        <v>40000</v>
      </c>
      <c r="E144" s="2">
        <v>1</v>
      </c>
      <c r="F144" s="2" t="s">
        <v>18</v>
      </c>
      <c r="G144" s="2" t="s">
        <v>19</v>
      </c>
      <c r="H144" s="2" t="s">
        <v>20</v>
      </c>
      <c r="I144" s="2">
        <v>0</v>
      </c>
      <c r="J144" s="4" t="s">
        <v>21</v>
      </c>
      <c r="K144" s="2" t="s">
        <v>22</v>
      </c>
      <c r="L144" s="2">
        <v>42</v>
      </c>
      <c r="M144" t="str" cm="1">
        <f t="array" ref="M144">_xlfn.IFS(L144&lt;=35,"YOUNG_ADULTS",L144&lt;=55,"MIDDLE_AGED",L144&gt;55,"OLD-AGED")</f>
        <v>MIDDLE_AGED</v>
      </c>
      <c r="N144" s="2" t="s">
        <v>20</v>
      </c>
      <c r="O144" t="str" cm="1">
        <f t="array" ref="O144">_xlfn.IFS(D144&lt;=50000,"low income",D144&lt;=100000,"Mid income",D144&gt;100000,"High income")</f>
        <v>low income</v>
      </c>
      <c r="P144" t="str" cm="1">
        <f t="array" ref="P144">_xlfn.IFS(E144&lt;=2,"&lt;=2",E144&gt;2,"&gt;2")</f>
        <v>&lt;=2</v>
      </c>
    </row>
    <row r="145" spans="1:16">
      <c r="A145" s="2">
        <v>16614</v>
      </c>
      <c r="B145" s="2" t="s">
        <v>16</v>
      </c>
      <c r="C145" s="2" t="s">
        <v>17</v>
      </c>
      <c r="D145" s="6">
        <v>80000</v>
      </c>
      <c r="E145" s="2">
        <v>0</v>
      </c>
      <c r="F145" s="2" t="s">
        <v>18</v>
      </c>
      <c r="G145" s="2" t="s">
        <v>25</v>
      </c>
      <c r="H145" s="2" t="s">
        <v>20</v>
      </c>
      <c r="I145" s="2">
        <v>3</v>
      </c>
      <c r="J145" s="4" t="s">
        <v>36</v>
      </c>
      <c r="K145" s="2" t="s">
        <v>30</v>
      </c>
      <c r="L145" s="2">
        <v>32</v>
      </c>
      <c r="M145" t="str" cm="1">
        <f t="array" ref="M145">_xlfn.IFS(L145&lt;=35,"YOUNG_ADULTS",L145&lt;=55,"MIDDLE_AGED",L145&gt;55,"OLD-AGED")</f>
        <v>YOUNG_ADULTS</v>
      </c>
      <c r="O145" t="str" cm="1">
        <f t="array" ref="O145">_xlfn.IFS(D145&lt;=50000,"low income",D145&lt;=100000,"Mid income",D145&gt;100000,"High income")</f>
        <v>Mid income</v>
      </c>
      <c r="P145" t="str" cm="1">
        <f t="array" ref="P145">_xlfn.IFS(E145&lt;=2,"&lt;=2",E145&gt;2,"&gt;2")</f>
        <v>&lt;=2</v>
      </c>
    </row>
    <row r="146" spans="1:16">
      <c r="A146" s="2">
        <v>20877</v>
      </c>
      <c r="B146" s="2" t="s">
        <v>28</v>
      </c>
      <c r="C146" s="2" t="s">
        <v>16</v>
      </c>
      <c r="D146" s="6">
        <v>30000</v>
      </c>
      <c r="E146" s="2">
        <v>1</v>
      </c>
      <c r="F146" s="2" t="s">
        <v>18</v>
      </c>
      <c r="G146" s="2" t="s">
        <v>24</v>
      </c>
      <c r="H146" s="2" t="s">
        <v>20</v>
      </c>
      <c r="I146" s="2">
        <v>0</v>
      </c>
      <c r="J146" s="4" t="s">
        <v>32</v>
      </c>
      <c r="K146" s="2" t="s">
        <v>22</v>
      </c>
      <c r="L146" s="2">
        <v>37</v>
      </c>
      <c r="M146" t="str" cm="1">
        <f t="array" ref="M146">_xlfn.IFS(L146&lt;=35,"YOUNG_ADULTS",L146&lt;=55,"MIDDLE_AGED",L146&gt;55,"OLD-AGED")</f>
        <v>MIDDLE_AGED</v>
      </c>
      <c r="N146" s="2" t="s">
        <v>20</v>
      </c>
      <c r="O146" t="str" cm="1">
        <f t="array" ref="O146">_xlfn.IFS(D146&lt;=50000,"low income",D146&lt;=100000,"Mid income",D146&gt;100000,"High income")</f>
        <v>low income</v>
      </c>
      <c r="P146" t="str" cm="1">
        <f t="array" ref="P146">_xlfn.IFS(E146&lt;=2,"&lt;=2",E146&gt;2,"&gt;2")</f>
        <v>&lt;=2</v>
      </c>
    </row>
    <row r="147" spans="1:16">
      <c r="A147" s="2">
        <v>20729</v>
      </c>
      <c r="B147" s="2" t="s">
        <v>16</v>
      </c>
      <c r="C147" s="2" t="s">
        <v>17</v>
      </c>
      <c r="D147" s="6">
        <v>40000</v>
      </c>
      <c r="E147" s="2">
        <v>2</v>
      </c>
      <c r="F147" s="2" t="s">
        <v>23</v>
      </c>
      <c r="G147" s="2" t="s">
        <v>24</v>
      </c>
      <c r="H147" s="2" t="s">
        <v>26</v>
      </c>
      <c r="I147" s="2">
        <v>1</v>
      </c>
      <c r="J147" s="4" t="s">
        <v>21</v>
      </c>
      <c r="K147" s="2" t="s">
        <v>22</v>
      </c>
      <c r="L147" s="2">
        <v>34</v>
      </c>
      <c r="M147" t="str" cm="1">
        <f t="array" ref="M147">_xlfn.IFS(L147&lt;=35,"YOUNG_ADULTS",L147&lt;=55,"MIDDLE_AGED",L147&gt;55,"OLD-AGED")</f>
        <v>YOUNG_ADULTS</v>
      </c>
      <c r="O147" t="str" cm="1">
        <f t="array" ref="O147">_xlfn.IFS(D147&lt;=50000,"low income",D147&lt;=100000,"Mid income",D147&gt;100000,"High income")</f>
        <v>low income</v>
      </c>
      <c r="P147" t="str" cm="1">
        <f t="array" ref="P147">_xlfn.IFS(E147&lt;=2,"&lt;=2",E147&gt;2,"&gt;2")</f>
        <v>&lt;=2</v>
      </c>
    </row>
    <row r="148" spans="1:16">
      <c r="A148" s="2">
        <v>22464</v>
      </c>
      <c r="B148" s="2" t="s">
        <v>16</v>
      </c>
      <c r="C148" s="2" t="s">
        <v>16</v>
      </c>
      <c r="D148" s="6">
        <v>40000</v>
      </c>
      <c r="E148" s="2">
        <v>0</v>
      </c>
      <c r="F148" s="2" t="s">
        <v>37</v>
      </c>
      <c r="G148" s="2" t="s">
        <v>24</v>
      </c>
      <c r="H148" s="2" t="s">
        <v>20</v>
      </c>
      <c r="I148" s="2">
        <v>0</v>
      </c>
      <c r="J148" s="4" t="s">
        <v>21</v>
      </c>
      <c r="K148" s="2" t="s">
        <v>22</v>
      </c>
      <c r="L148" s="2">
        <v>37</v>
      </c>
      <c r="M148" t="str" cm="1">
        <f t="array" ref="M148">_xlfn.IFS(L148&lt;=35,"YOUNG_ADULTS",L148&lt;=55,"MIDDLE_AGED",L148&gt;55,"OLD-AGED")</f>
        <v>MIDDLE_AGED</v>
      </c>
      <c r="N148" s="2" t="s">
        <v>20</v>
      </c>
      <c r="O148" t="str" cm="1">
        <f t="array" ref="O148">_xlfn.IFS(D148&lt;=50000,"low income",D148&lt;=100000,"Mid income",D148&gt;100000,"High income")</f>
        <v>low income</v>
      </c>
      <c r="P148" t="str" cm="1">
        <f t="array" ref="P148">_xlfn.IFS(E148&lt;=2,"&lt;=2",E148&gt;2,"&gt;2")</f>
        <v>&lt;=2</v>
      </c>
    </row>
    <row r="149" spans="1:16">
      <c r="A149" s="2">
        <v>19475</v>
      </c>
      <c r="B149" s="2" t="s">
        <v>16</v>
      </c>
      <c r="C149" s="2" t="s">
        <v>17</v>
      </c>
      <c r="D149" s="6">
        <v>40000</v>
      </c>
      <c r="E149" s="2">
        <v>0</v>
      </c>
      <c r="F149" s="2" t="s">
        <v>18</v>
      </c>
      <c r="G149" s="2" t="s">
        <v>25</v>
      </c>
      <c r="H149" s="2" t="s">
        <v>26</v>
      </c>
      <c r="I149" s="2">
        <v>0</v>
      </c>
      <c r="J149" s="4" t="s">
        <v>21</v>
      </c>
      <c r="K149" s="2" t="s">
        <v>22</v>
      </c>
      <c r="L149" s="2">
        <v>40</v>
      </c>
      <c r="M149" t="str" cm="1">
        <f t="array" ref="M149">_xlfn.IFS(L149&lt;=35,"YOUNG_ADULTS",L149&lt;=55,"MIDDLE_AGED",L149&gt;55,"OLD-AGED")</f>
        <v>MIDDLE_AGED</v>
      </c>
      <c r="N149" s="2" t="s">
        <v>20</v>
      </c>
      <c r="O149" t="str" cm="1">
        <f t="array" ref="O149">_xlfn.IFS(D149&lt;=50000,"low income",D149&lt;=100000,"Mid income",D149&gt;100000,"High income")</f>
        <v>low income</v>
      </c>
      <c r="P149" t="str" cm="1">
        <f t="array" ref="P149">_xlfn.IFS(E149&lt;=2,"&lt;=2",E149&gt;2,"&gt;2")</f>
        <v>&lt;=2</v>
      </c>
    </row>
    <row r="150" spans="1:16">
      <c r="A150" s="2">
        <v>19675</v>
      </c>
      <c r="B150" s="2" t="s">
        <v>16</v>
      </c>
      <c r="C150" s="2" t="s">
        <v>16</v>
      </c>
      <c r="D150" s="6">
        <v>20000</v>
      </c>
      <c r="E150" s="2">
        <v>4</v>
      </c>
      <c r="F150" s="2" t="s">
        <v>33</v>
      </c>
      <c r="G150" s="2" t="s">
        <v>19</v>
      </c>
      <c r="H150" s="2" t="s">
        <v>20</v>
      </c>
      <c r="I150" s="2">
        <v>2</v>
      </c>
      <c r="J150" s="4" t="s">
        <v>29</v>
      </c>
      <c r="K150" s="2" t="s">
        <v>30</v>
      </c>
      <c r="L150" s="2">
        <v>60</v>
      </c>
      <c r="M150" t="str" cm="1">
        <f t="array" ref="M150">_xlfn.IFS(L150&lt;=35,"YOUNG_ADULTS",L150&lt;=55,"MIDDLE_AGED",L150&gt;55,"OLD-AGED")</f>
        <v>OLD-AGED</v>
      </c>
      <c r="O150" t="str" cm="1">
        <f t="array" ref="O150">_xlfn.IFS(D150&lt;=50000,"low income",D150&lt;=100000,"Mid income",D150&gt;100000,"High income")</f>
        <v>low income</v>
      </c>
      <c r="P150" t="str" cm="1">
        <f t="array" ref="P150">_xlfn.IFS(E150&lt;=2,"&lt;=2",E150&gt;2,"&gt;2")</f>
        <v>&gt;2</v>
      </c>
    </row>
    <row r="151" spans="1:16">
      <c r="A151" s="2">
        <v>12728</v>
      </c>
      <c r="B151" s="2" t="s">
        <v>28</v>
      </c>
      <c r="C151" s="2" t="s">
        <v>16</v>
      </c>
      <c r="D151" s="6">
        <v>30000</v>
      </c>
      <c r="E151" s="2">
        <v>0</v>
      </c>
      <c r="F151" s="2" t="s">
        <v>23</v>
      </c>
      <c r="G151" s="2" t="s">
        <v>24</v>
      </c>
      <c r="H151" s="2" t="s">
        <v>26</v>
      </c>
      <c r="I151" s="2">
        <v>1</v>
      </c>
      <c r="J151" s="4" t="s">
        <v>32</v>
      </c>
      <c r="K151" s="2" t="s">
        <v>22</v>
      </c>
      <c r="L151" s="2">
        <v>27</v>
      </c>
      <c r="M151" t="str" cm="1">
        <f t="array" ref="M151">_xlfn.IFS(L151&lt;=35,"YOUNG_ADULTS",L151&lt;=55,"MIDDLE_AGED",L151&gt;55,"OLD-AGED")</f>
        <v>YOUNG_ADULTS</v>
      </c>
      <c r="O151" t="str" cm="1">
        <f t="array" ref="O151">_xlfn.IFS(D151&lt;=50000,"low income",D151&lt;=100000,"Mid income",D151&gt;100000,"High income")</f>
        <v>low income</v>
      </c>
      <c r="P151" t="str" cm="1">
        <f t="array" ref="P151">_xlfn.IFS(E151&lt;=2,"&lt;=2",E151&gt;2,"&gt;2")</f>
        <v>&lt;=2</v>
      </c>
    </row>
    <row r="152" spans="1:16">
      <c r="A152" s="2">
        <v>26154</v>
      </c>
      <c r="B152" s="2" t="s">
        <v>16</v>
      </c>
      <c r="C152" s="2" t="s">
        <v>16</v>
      </c>
      <c r="D152" s="6">
        <v>60000</v>
      </c>
      <c r="E152" s="2">
        <v>1</v>
      </c>
      <c r="F152" s="2" t="s">
        <v>23</v>
      </c>
      <c r="G152" s="2" t="s">
        <v>19</v>
      </c>
      <c r="H152" s="2" t="s">
        <v>20</v>
      </c>
      <c r="I152" s="2">
        <v>1</v>
      </c>
      <c r="J152" s="4" t="s">
        <v>29</v>
      </c>
      <c r="K152" s="2" t="s">
        <v>30</v>
      </c>
      <c r="L152" s="2">
        <v>43</v>
      </c>
      <c r="M152" t="str" cm="1">
        <f t="array" ref="M152">_xlfn.IFS(L152&lt;=35,"YOUNG_ADULTS",L152&lt;=55,"MIDDLE_AGED",L152&gt;55,"OLD-AGED")</f>
        <v>MIDDLE_AGED</v>
      </c>
      <c r="N152" s="2" t="s">
        <v>20</v>
      </c>
      <c r="O152" t="str" cm="1">
        <f t="array" ref="O152">_xlfn.IFS(D152&lt;=50000,"low income",D152&lt;=100000,"Mid income",D152&gt;100000,"High income")</f>
        <v>Mid income</v>
      </c>
      <c r="P152" t="str" cm="1">
        <f t="array" ref="P152">_xlfn.IFS(E152&lt;=2,"&lt;=2",E152&gt;2,"&gt;2")</f>
        <v>&lt;=2</v>
      </c>
    </row>
    <row r="153" spans="1:16">
      <c r="A153" s="2">
        <v>29117</v>
      </c>
      <c r="B153" s="2" t="s">
        <v>28</v>
      </c>
      <c r="C153" s="2" t="s">
        <v>16</v>
      </c>
      <c r="D153" s="6">
        <v>100000</v>
      </c>
      <c r="E153" s="2">
        <v>1</v>
      </c>
      <c r="F153" s="2" t="s">
        <v>18</v>
      </c>
      <c r="G153" s="2" t="s">
        <v>34</v>
      </c>
      <c r="H153" s="2" t="s">
        <v>26</v>
      </c>
      <c r="I153" s="2">
        <v>3</v>
      </c>
      <c r="J153" s="4" t="s">
        <v>21</v>
      </c>
      <c r="K153" s="2" t="s">
        <v>30</v>
      </c>
      <c r="L153" s="2">
        <v>48</v>
      </c>
      <c r="M153" t="str" cm="1">
        <f t="array" ref="M153">_xlfn.IFS(L153&lt;=35,"YOUNG_ADULTS",L153&lt;=55,"MIDDLE_AGED",L153&gt;55,"OLD-AGED")</f>
        <v>MIDDLE_AGED</v>
      </c>
      <c r="O153" t="str" cm="1">
        <f t="array" ref="O153">_xlfn.IFS(D153&lt;=50000,"low income",D153&lt;=100000,"Mid income",D153&gt;100000,"High income")</f>
        <v>Mid income</v>
      </c>
      <c r="P153" t="str" cm="1">
        <f t="array" ref="P153">_xlfn.IFS(E153&lt;=2,"&lt;=2",E153&gt;2,"&gt;2")</f>
        <v>&lt;=2</v>
      </c>
    </row>
    <row r="154" spans="1:16">
      <c r="A154" s="2">
        <v>17845</v>
      </c>
      <c r="B154" s="2" t="s">
        <v>28</v>
      </c>
      <c r="C154" s="2" t="s">
        <v>17</v>
      </c>
      <c r="D154" s="6">
        <v>20000</v>
      </c>
      <c r="E154" s="2">
        <v>0</v>
      </c>
      <c r="F154" s="2" t="s">
        <v>35</v>
      </c>
      <c r="G154" s="2" t="s">
        <v>31</v>
      </c>
      <c r="H154" s="2" t="s">
        <v>26</v>
      </c>
      <c r="I154" s="2">
        <v>2</v>
      </c>
      <c r="J154" s="4" t="s">
        <v>32</v>
      </c>
      <c r="K154" s="2" t="s">
        <v>22</v>
      </c>
      <c r="L154" s="2">
        <v>32</v>
      </c>
      <c r="M154" t="str" cm="1">
        <f t="array" ref="M154">_xlfn.IFS(L154&lt;=35,"YOUNG_ADULTS",L154&lt;=55,"MIDDLE_AGED",L154&gt;55,"OLD-AGED")</f>
        <v>YOUNG_ADULTS</v>
      </c>
      <c r="O154" t="str" cm="1">
        <f t="array" ref="O154">_xlfn.IFS(D154&lt;=50000,"low income",D154&lt;=100000,"Mid income",D154&gt;100000,"High income")</f>
        <v>low income</v>
      </c>
      <c r="P154" t="str" cm="1">
        <f t="array" ref="P154">_xlfn.IFS(E154&lt;=2,"&lt;=2",E154&gt;2,"&gt;2")</f>
        <v>&lt;=2</v>
      </c>
    </row>
    <row r="155" spans="1:16">
      <c r="A155" s="2">
        <v>25058</v>
      </c>
      <c r="B155" s="2" t="s">
        <v>16</v>
      </c>
      <c r="C155" s="2" t="s">
        <v>16</v>
      </c>
      <c r="D155" s="6">
        <v>100000</v>
      </c>
      <c r="E155" s="2">
        <v>1</v>
      </c>
      <c r="F155" s="2" t="s">
        <v>18</v>
      </c>
      <c r="G155" s="2" t="s">
        <v>34</v>
      </c>
      <c r="H155" s="2" t="s">
        <v>20</v>
      </c>
      <c r="I155" s="2">
        <v>3</v>
      </c>
      <c r="J155" s="4" t="s">
        <v>27</v>
      </c>
      <c r="K155" s="2" t="s">
        <v>30</v>
      </c>
      <c r="L155" s="2">
        <v>47</v>
      </c>
      <c r="M155" t="str" cm="1">
        <f t="array" ref="M155">_xlfn.IFS(L155&lt;=35,"YOUNG_ADULTS",L155&lt;=55,"MIDDLE_AGED",L155&gt;55,"OLD-AGED")</f>
        <v>MIDDLE_AGED</v>
      </c>
      <c r="O155" t="str" cm="1">
        <f t="array" ref="O155">_xlfn.IFS(D155&lt;=50000,"low income",D155&lt;=100000,"Mid income",D155&gt;100000,"High income")</f>
        <v>Mid income</v>
      </c>
      <c r="P155" t="str" cm="1">
        <f t="array" ref="P155">_xlfn.IFS(E155&lt;=2,"&lt;=2",E155&gt;2,"&gt;2")</f>
        <v>&lt;=2</v>
      </c>
    </row>
    <row r="156" spans="1:16">
      <c r="A156" s="2">
        <v>23426</v>
      </c>
      <c r="B156" s="2" t="s">
        <v>28</v>
      </c>
      <c r="C156" s="2" t="s">
        <v>16</v>
      </c>
      <c r="D156" s="6">
        <v>80000</v>
      </c>
      <c r="E156" s="2">
        <v>5</v>
      </c>
      <c r="F156" s="2" t="s">
        <v>37</v>
      </c>
      <c r="G156" s="2" t="s">
        <v>34</v>
      </c>
      <c r="H156" s="2" t="s">
        <v>20</v>
      </c>
      <c r="I156" s="2">
        <v>3</v>
      </c>
      <c r="J156" s="4" t="s">
        <v>21</v>
      </c>
      <c r="K156" s="2" t="s">
        <v>30</v>
      </c>
      <c r="L156" s="2">
        <v>40</v>
      </c>
      <c r="M156" t="str" cm="1">
        <f t="array" ref="M156">_xlfn.IFS(L156&lt;=35,"YOUNG_ADULTS",L156&lt;=55,"MIDDLE_AGED",L156&gt;55,"OLD-AGED")</f>
        <v>MIDDLE_AGED</v>
      </c>
      <c r="O156" t="str" cm="1">
        <f t="array" ref="O156">_xlfn.IFS(D156&lt;=50000,"low income",D156&lt;=100000,"Mid income",D156&gt;100000,"High income")</f>
        <v>Mid income</v>
      </c>
      <c r="P156" t="str" cm="1">
        <f t="array" ref="P156">_xlfn.IFS(E156&lt;=2,"&lt;=2",E156&gt;2,"&gt;2")</f>
        <v>&gt;2</v>
      </c>
    </row>
    <row r="157" spans="1:16">
      <c r="A157" s="2">
        <v>14798</v>
      </c>
      <c r="B157" s="2" t="s">
        <v>28</v>
      </c>
      <c r="C157" s="2" t="s">
        <v>17</v>
      </c>
      <c r="D157" s="6">
        <v>10000</v>
      </c>
      <c r="E157" s="2">
        <v>4</v>
      </c>
      <c r="F157" s="2" t="s">
        <v>35</v>
      </c>
      <c r="G157" s="2" t="s">
        <v>31</v>
      </c>
      <c r="H157" s="2" t="s">
        <v>20</v>
      </c>
      <c r="I157" s="2">
        <v>2</v>
      </c>
      <c r="J157" s="4" t="s">
        <v>21</v>
      </c>
      <c r="K157" s="2" t="s">
        <v>22</v>
      </c>
      <c r="L157" s="2">
        <v>41</v>
      </c>
      <c r="M157" t="str" cm="1">
        <f t="array" ref="M157">_xlfn.IFS(L157&lt;=35,"YOUNG_ADULTS",L157&lt;=55,"MIDDLE_AGED",L157&gt;55,"OLD-AGED")</f>
        <v>MIDDLE_AGED</v>
      </c>
      <c r="N157" s="2" t="s">
        <v>20</v>
      </c>
      <c r="O157" t="str" cm="1">
        <f t="array" ref="O157">_xlfn.IFS(D157&lt;=50000,"low income",D157&lt;=100000,"Mid income",D157&gt;100000,"High income")</f>
        <v>low income</v>
      </c>
      <c r="P157" t="str" cm="1">
        <f t="array" ref="P157">_xlfn.IFS(E157&lt;=2,"&lt;=2",E157&gt;2,"&gt;2")</f>
        <v>&gt;2</v>
      </c>
    </row>
    <row r="158" spans="1:16">
      <c r="A158" s="2">
        <v>12664</v>
      </c>
      <c r="B158" s="2" t="s">
        <v>16</v>
      </c>
      <c r="C158" s="2" t="s">
        <v>17</v>
      </c>
      <c r="D158" s="6">
        <v>130000</v>
      </c>
      <c r="E158" s="2">
        <v>5</v>
      </c>
      <c r="F158" s="2" t="s">
        <v>23</v>
      </c>
      <c r="G158" s="2" t="s">
        <v>25</v>
      </c>
      <c r="H158" s="2" t="s">
        <v>20</v>
      </c>
      <c r="I158" s="2">
        <v>4</v>
      </c>
      <c r="J158" s="4" t="s">
        <v>21</v>
      </c>
      <c r="K158" s="2" t="s">
        <v>22</v>
      </c>
      <c r="L158" s="2">
        <v>59</v>
      </c>
      <c r="M158" t="str" cm="1">
        <f t="array" ref="M158">_xlfn.IFS(L158&lt;=35,"YOUNG_ADULTS",L158&lt;=55,"MIDDLE_AGED",L158&gt;55,"OLD-AGED")</f>
        <v>OLD-AGED</v>
      </c>
      <c r="O158" t="str" cm="1">
        <f t="array" ref="O158">_xlfn.IFS(D158&lt;=50000,"low income",D158&lt;=100000,"Mid income",D158&gt;100000,"High income")</f>
        <v>High income</v>
      </c>
      <c r="P158" t="str" cm="1">
        <f t="array" ref="P158">_xlfn.IFS(E158&lt;=2,"&lt;=2",E158&gt;2,"&gt;2")</f>
        <v>&gt;2</v>
      </c>
    </row>
    <row r="159" spans="1:16">
      <c r="A159" s="2">
        <v>23979</v>
      </c>
      <c r="B159" s="2" t="s">
        <v>28</v>
      </c>
      <c r="C159" s="2" t="s">
        <v>16</v>
      </c>
      <c r="D159" s="6">
        <v>10000</v>
      </c>
      <c r="E159" s="2">
        <v>2</v>
      </c>
      <c r="F159" s="2" t="s">
        <v>23</v>
      </c>
      <c r="G159" s="2" t="s">
        <v>31</v>
      </c>
      <c r="H159" s="2" t="s">
        <v>26</v>
      </c>
      <c r="I159" s="2">
        <v>0</v>
      </c>
      <c r="J159" s="4" t="s">
        <v>21</v>
      </c>
      <c r="K159" s="2" t="s">
        <v>22</v>
      </c>
      <c r="L159" s="2">
        <v>50</v>
      </c>
      <c r="M159" t="str" cm="1">
        <f t="array" ref="M159">_xlfn.IFS(L159&lt;=35,"YOUNG_ADULTS",L159&lt;=55,"MIDDLE_AGED",L159&gt;55,"OLD-AGED")</f>
        <v>MIDDLE_AGED</v>
      </c>
      <c r="O159" t="str" cm="1">
        <f t="array" ref="O159">_xlfn.IFS(D159&lt;=50000,"low income",D159&lt;=100000,"Mid income",D159&gt;100000,"High income")</f>
        <v>low income</v>
      </c>
      <c r="P159" t="str" cm="1">
        <f t="array" ref="P159">_xlfn.IFS(E159&lt;=2,"&lt;=2",E159&gt;2,"&gt;2")</f>
        <v>&lt;=2</v>
      </c>
    </row>
    <row r="160" spans="1:16">
      <c r="A160" s="2">
        <v>25605</v>
      </c>
      <c r="B160" s="2" t="s">
        <v>28</v>
      </c>
      <c r="C160" s="2" t="s">
        <v>17</v>
      </c>
      <c r="D160" s="6">
        <v>20000</v>
      </c>
      <c r="E160" s="2">
        <v>2</v>
      </c>
      <c r="F160" s="2" t="s">
        <v>23</v>
      </c>
      <c r="G160" s="2" t="s">
        <v>31</v>
      </c>
      <c r="H160" s="2" t="s">
        <v>26</v>
      </c>
      <c r="I160" s="2">
        <v>1</v>
      </c>
      <c r="J160" s="4" t="s">
        <v>21</v>
      </c>
      <c r="K160" s="2" t="s">
        <v>22</v>
      </c>
      <c r="L160" s="2">
        <v>54</v>
      </c>
      <c r="M160" t="str" cm="1">
        <f t="array" ref="M160">_xlfn.IFS(L160&lt;=35,"YOUNG_ADULTS",L160&lt;=55,"MIDDLE_AGED",L160&gt;55,"OLD-AGED")</f>
        <v>MIDDLE_AGED</v>
      </c>
      <c r="N160" s="2" t="s">
        <v>20</v>
      </c>
      <c r="O160" t="str" cm="1">
        <f t="array" ref="O160">_xlfn.IFS(D160&lt;=50000,"low income",D160&lt;=100000,"Mid income",D160&gt;100000,"High income")</f>
        <v>low income</v>
      </c>
      <c r="P160" t="str" cm="1">
        <f t="array" ref="P160">_xlfn.IFS(E160&lt;=2,"&lt;=2",E160&gt;2,"&gt;2")</f>
        <v>&lt;=2</v>
      </c>
    </row>
    <row r="161" spans="1:16">
      <c r="A161" s="2">
        <v>20797</v>
      </c>
      <c r="B161" s="2" t="s">
        <v>16</v>
      </c>
      <c r="C161" s="2" t="s">
        <v>17</v>
      </c>
      <c r="D161" s="6">
        <v>10000</v>
      </c>
      <c r="E161" s="2">
        <v>1</v>
      </c>
      <c r="F161" s="2" t="s">
        <v>18</v>
      </c>
      <c r="G161" s="2" t="s">
        <v>31</v>
      </c>
      <c r="H161" s="2" t="s">
        <v>20</v>
      </c>
      <c r="I161" s="2">
        <v>0</v>
      </c>
      <c r="J161" s="4" t="s">
        <v>21</v>
      </c>
      <c r="K161" s="2" t="s">
        <v>22</v>
      </c>
      <c r="L161" s="2">
        <v>48</v>
      </c>
      <c r="M161" t="str" cm="1">
        <f t="array" ref="M161">_xlfn.IFS(L161&lt;=35,"YOUNG_ADULTS",L161&lt;=55,"MIDDLE_AGED",L161&gt;55,"OLD-AGED")</f>
        <v>MIDDLE_AGED</v>
      </c>
      <c r="O161" t="str" cm="1">
        <f t="array" ref="O161">_xlfn.IFS(D161&lt;=50000,"low income",D161&lt;=100000,"Mid income",D161&gt;100000,"High income")</f>
        <v>low income</v>
      </c>
      <c r="P161" t="str" cm="1">
        <f t="array" ref="P161">_xlfn.IFS(E161&lt;=2,"&lt;=2",E161&gt;2,"&gt;2")</f>
        <v>&lt;=2</v>
      </c>
    </row>
    <row r="162" spans="1:16">
      <c r="A162" s="2">
        <v>21980</v>
      </c>
      <c r="B162" s="2" t="s">
        <v>28</v>
      </c>
      <c r="C162" s="2" t="s">
        <v>17</v>
      </c>
      <c r="D162" s="6">
        <v>60000</v>
      </c>
      <c r="E162" s="2">
        <v>1</v>
      </c>
      <c r="F162" s="2" t="s">
        <v>18</v>
      </c>
      <c r="G162" s="2" t="s">
        <v>25</v>
      </c>
      <c r="H162" s="2" t="s">
        <v>20</v>
      </c>
      <c r="I162" s="2">
        <v>1</v>
      </c>
      <c r="J162" s="4" t="s">
        <v>29</v>
      </c>
      <c r="K162" s="2" t="s">
        <v>30</v>
      </c>
      <c r="L162" s="2">
        <v>44</v>
      </c>
      <c r="M162" t="str" cm="1">
        <f t="array" ref="M162">_xlfn.IFS(L162&lt;=35,"YOUNG_ADULTS",L162&lt;=55,"MIDDLE_AGED",L162&gt;55,"OLD-AGED")</f>
        <v>MIDDLE_AGED</v>
      </c>
      <c r="N162" s="2" t="s">
        <v>20</v>
      </c>
      <c r="O162" t="str" cm="1">
        <f t="array" ref="O162">_xlfn.IFS(D162&lt;=50000,"low income",D162&lt;=100000,"Mid income",D162&gt;100000,"High income")</f>
        <v>Mid income</v>
      </c>
      <c r="P162" t="str" cm="1">
        <f t="array" ref="P162">_xlfn.IFS(E162&lt;=2,"&lt;=2",E162&gt;2,"&gt;2")</f>
        <v>&lt;=2</v>
      </c>
    </row>
    <row r="163" spans="1:16">
      <c r="A163" s="2">
        <v>25460</v>
      </c>
      <c r="B163" s="2" t="s">
        <v>16</v>
      </c>
      <c r="C163" s="2" t="s">
        <v>17</v>
      </c>
      <c r="D163" s="6">
        <v>20000</v>
      </c>
      <c r="E163" s="2">
        <v>2</v>
      </c>
      <c r="F163" s="2" t="s">
        <v>33</v>
      </c>
      <c r="G163" s="2" t="s">
        <v>31</v>
      </c>
      <c r="H163" s="2" t="s">
        <v>20</v>
      </c>
      <c r="I163" s="2">
        <v>0</v>
      </c>
      <c r="J163" s="4" t="s">
        <v>21</v>
      </c>
      <c r="K163" s="2" t="s">
        <v>22</v>
      </c>
      <c r="L163" s="2">
        <v>40</v>
      </c>
      <c r="M163" t="str" cm="1">
        <f t="array" ref="M163">_xlfn.IFS(L163&lt;=35,"YOUNG_ADULTS",L163&lt;=55,"MIDDLE_AGED",L163&gt;55,"OLD-AGED")</f>
        <v>MIDDLE_AGED</v>
      </c>
      <c r="N163" s="2" t="s">
        <v>20</v>
      </c>
      <c r="O163" t="str" cm="1">
        <f t="array" ref="O163">_xlfn.IFS(D163&lt;=50000,"low income",D163&lt;=100000,"Mid income",D163&gt;100000,"High income")</f>
        <v>low income</v>
      </c>
      <c r="P163" t="str" cm="1">
        <f t="array" ref="P163">_xlfn.IFS(E163&lt;=2,"&lt;=2",E163&gt;2,"&gt;2")</f>
        <v>&lt;=2</v>
      </c>
    </row>
    <row r="164" spans="1:16">
      <c r="A164" s="2">
        <v>29181</v>
      </c>
      <c r="B164" s="2" t="s">
        <v>28</v>
      </c>
      <c r="C164" s="2" t="s">
        <v>17</v>
      </c>
      <c r="D164" s="6">
        <v>60000</v>
      </c>
      <c r="E164" s="2">
        <v>2</v>
      </c>
      <c r="F164" s="2" t="s">
        <v>18</v>
      </c>
      <c r="G164" s="2" t="s">
        <v>25</v>
      </c>
      <c r="H164" s="2" t="s">
        <v>26</v>
      </c>
      <c r="I164" s="2">
        <v>1</v>
      </c>
      <c r="J164" s="4" t="s">
        <v>21</v>
      </c>
      <c r="K164" s="2" t="s">
        <v>30</v>
      </c>
      <c r="L164" s="2">
        <v>38</v>
      </c>
      <c r="M164" t="str" cm="1">
        <f t="array" ref="M164">_xlfn.IFS(L164&lt;=35,"YOUNG_ADULTS",L164&lt;=55,"MIDDLE_AGED",L164&gt;55,"OLD-AGED")</f>
        <v>MIDDLE_AGED</v>
      </c>
      <c r="N164" s="2" t="s">
        <v>20</v>
      </c>
      <c r="O164" t="str" cm="1">
        <f t="array" ref="O164">_xlfn.IFS(D164&lt;=50000,"low income",D164&lt;=100000,"Mid income",D164&gt;100000,"High income")</f>
        <v>Mid income</v>
      </c>
      <c r="P164" t="str" cm="1">
        <f t="array" ref="P164">_xlfn.IFS(E164&lt;=2,"&lt;=2",E164&gt;2,"&gt;2")</f>
        <v>&lt;=2</v>
      </c>
    </row>
    <row r="165" spans="1:16">
      <c r="A165" s="2">
        <v>24279</v>
      </c>
      <c r="B165" s="2" t="s">
        <v>28</v>
      </c>
      <c r="C165" s="2" t="s">
        <v>16</v>
      </c>
      <c r="D165" s="6">
        <v>40000</v>
      </c>
      <c r="E165" s="2">
        <v>2</v>
      </c>
      <c r="F165" s="2" t="s">
        <v>23</v>
      </c>
      <c r="G165" s="2" t="s">
        <v>19</v>
      </c>
      <c r="H165" s="2" t="s">
        <v>26</v>
      </c>
      <c r="I165" s="2">
        <v>2</v>
      </c>
      <c r="J165" s="4" t="s">
        <v>32</v>
      </c>
      <c r="K165" s="2" t="s">
        <v>30</v>
      </c>
      <c r="L165" s="2">
        <v>52</v>
      </c>
      <c r="M165" t="str" cm="1">
        <f t="array" ref="M165">_xlfn.IFS(L165&lt;=35,"YOUNG_ADULTS",L165&lt;=55,"MIDDLE_AGED",L165&gt;55,"OLD-AGED")</f>
        <v>MIDDLE_AGED</v>
      </c>
      <c r="O165" t="str" cm="1">
        <f t="array" ref="O165">_xlfn.IFS(D165&lt;=50000,"low income",D165&lt;=100000,"Mid income",D165&gt;100000,"High income")</f>
        <v>low income</v>
      </c>
      <c r="P165" t="str" cm="1">
        <f t="array" ref="P165">_xlfn.IFS(E165&lt;=2,"&lt;=2",E165&gt;2,"&gt;2")</f>
        <v>&lt;=2</v>
      </c>
    </row>
    <row r="166" spans="1:16">
      <c r="A166" s="2">
        <v>22402</v>
      </c>
      <c r="B166" s="2" t="s">
        <v>16</v>
      </c>
      <c r="C166" s="2" t="s">
        <v>16</v>
      </c>
      <c r="D166" s="6">
        <v>10000</v>
      </c>
      <c r="E166" s="2">
        <v>0</v>
      </c>
      <c r="F166" s="2" t="s">
        <v>23</v>
      </c>
      <c r="G166" s="2" t="s">
        <v>31</v>
      </c>
      <c r="H166" s="2" t="s">
        <v>20</v>
      </c>
      <c r="I166" s="2">
        <v>1</v>
      </c>
      <c r="J166" s="4" t="s">
        <v>27</v>
      </c>
      <c r="K166" s="2" t="s">
        <v>30</v>
      </c>
      <c r="L166" s="2">
        <v>25</v>
      </c>
      <c r="M166" t="str" cm="1">
        <f t="array" ref="M166">_xlfn.IFS(L166&lt;=35,"YOUNG_ADULTS",L166&lt;=55,"MIDDLE_AGED",L166&gt;55,"OLD-AGED")</f>
        <v>YOUNG_ADULTS</v>
      </c>
      <c r="N166" s="2" t="s">
        <v>20</v>
      </c>
      <c r="O166" t="str" cm="1">
        <f t="array" ref="O166">_xlfn.IFS(D166&lt;=50000,"low income",D166&lt;=100000,"Mid income",D166&gt;100000,"High income")</f>
        <v>low income</v>
      </c>
      <c r="P166" t="str" cm="1">
        <f t="array" ref="P166">_xlfn.IFS(E166&lt;=2,"&lt;=2",E166&gt;2,"&gt;2")</f>
        <v>&lt;=2</v>
      </c>
    </row>
    <row r="167" spans="1:16">
      <c r="A167" s="2">
        <v>15465</v>
      </c>
      <c r="B167" s="2" t="s">
        <v>16</v>
      </c>
      <c r="C167" s="2" t="s">
        <v>17</v>
      </c>
      <c r="D167" s="6">
        <v>10000</v>
      </c>
      <c r="E167" s="2">
        <v>0</v>
      </c>
      <c r="F167" s="2" t="s">
        <v>23</v>
      </c>
      <c r="G167" s="2" t="s">
        <v>31</v>
      </c>
      <c r="H167" s="2" t="s">
        <v>26</v>
      </c>
      <c r="I167" s="2">
        <v>1</v>
      </c>
      <c r="J167" s="4" t="s">
        <v>21</v>
      </c>
      <c r="K167" s="2" t="s">
        <v>30</v>
      </c>
      <c r="L167" s="2">
        <v>25</v>
      </c>
      <c r="M167" t="str" cm="1">
        <f t="array" ref="M167">_xlfn.IFS(L167&lt;=35,"YOUNG_ADULTS",L167&lt;=55,"MIDDLE_AGED",L167&gt;55,"OLD-AGED")</f>
        <v>YOUNG_ADULTS</v>
      </c>
      <c r="O167" t="str" cm="1">
        <f t="array" ref="O167">_xlfn.IFS(D167&lt;=50000,"low income",D167&lt;=100000,"Mid income",D167&gt;100000,"High income")</f>
        <v>low income</v>
      </c>
      <c r="P167" t="str" cm="1">
        <f t="array" ref="P167">_xlfn.IFS(E167&lt;=2,"&lt;=2",E167&gt;2,"&gt;2")</f>
        <v>&lt;=2</v>
      </c>
    </row>
    <row r="168" spans="1:16">
      <c r="A168" s="2">
        <v>26757</v>
      </c>
      <c r="B168" s="2" t="s">
        <v>28</v>
      </c>
      <c r="C168" s="2" t="s">
        <v>16</v>
      </c>
      <c r="D168" s="6">
        <v>90000</v>
      </c>
      <c r="E168" s="2">
        <v>1</v>
      </c>
      <c r="F168" s="2" t="s">
        <v>18</v>
      </c>
      <c r="G168" s="2" t="s">
        <v>25</v>
      </c>
      <c r="H168" s="2" t="s">
        <v>20</v>
      </c>
      <c r="I168" s="2">
        <v>1</v>
      </c>
      <c r="J168" s="4" t="s">
        <v>27</v>
      </c>
      <c r="K168" s="2" t="s">
        <v>30</v>
      </c>
      <c r="L168" s="2">
        <v>47</v>
      </c>
      <c r="M168" t="str" cm="1">
        <f t="array" ref="M168">_xlfn.IFS(L168&lt;=35,"YOUNG_ADULTS",L168&lt;=55,"MIDDLE_AGED",L168&gt;55,"OLD-AGED")</f>
        <v>MIDDLE_AGED</v>
      </c>
      <c r="N168" s="2" t="s">
        <v>20</v>
      </c>
      <c r="O168" t="str" cm="1">
        <f t="array" ref="O168">_xlfn.IFS(D168&lt;=50000,"low income",D168&lt;=100000,"Mid income",D168&gt;100000,"High income")</f>
        <v>Mid income</v>
      </c>
      <c r="P168" t="str" cm="1">
        <f t="array" ref="P168">_xlfn.IFS(E168&lt;=2,"&lt;=2",E168&gt;2,"&gt;2")</f>
        <v>&lt;=2</v>
      </c>
    </row>
    <row r="169" spans="1:16">
      <c r="A169" s="2">
        <v>14233</v>
      </c>
      <c r="B169" s="2" t="s">
        <v>28</v>
      </c>
      <c r="C169" s="2" t="s">
        <v>16</v>
      </c>
      <c r="D169" s="6">
        <v>100000</v>
      </c>
      <c r="E169" s="2">
        <v>0</v>
      </c>
      <c r="F169" s="2" t="s">
        <v>33</v>
      </c>
      <c r="G169" s="2" t="s">
        <v>34</v>
      </c>
      <c r="H169" s="2" t="s">
        <v>20</v>
      </c>
      <c r="I169" s="2">
        <v>3</v>
      </c>
      <c r="J169" s="4" t="s">
        <v>36</v>
      </c>
      <c r="K169" s="2" t="s">
        <v>30</v>
      </c>
      <c r="L169" s="2">
        <v>35</v>
      </c>
      <c r="M169" t="str" cm="1">
        <f t="array" ref="M169">_xlfn.IFS(L169&lt;=35,"YOUNG_ADULTS",L169&lt;=55,"MIDDLE_AGED",L169&gt;55,"OLD-AGED")</f>
        <v>YOUNG_ADULTS</v>
      </c>
      <c r="O169" t="str" cm="1">
        <f t="array" ref="O169">_xlfn.IFS(D169&lt;=50000,"low income",D169&lt;=100000,"Mid income",D169&gt;100000,"High income")</f>
        <v>Mid income</v>
      </c>
      <c r="P169" t="str" cm="1">
        <f t="array" ref="P169">_xlfn.IFS(E169&lt;=2,"&lt;=2",E169&gt;2,"&gt;2")</f>
        <v>&lt;=2</v>
      </c>
    </row>
    <row r="170" spans="1:16">
      <c r="A170" s="2">
        <v>14058</v>
      </c>
      <c r="B170" s="2" t="s">
        <v>28</v>
      </c>
      <c r="C170" s="2" t="s">
        <v>16</v>
      </c>
      <c r="D170" s="6">
        <v>70000</v>
      </c>
      <c r="E170" s="2">
        <v>0</v>
      </c>
      <c r="F170" s="2" t="s">
        <v>18</v>
      </c>
      <c r="G170" s="2" t="s">
        <v>25</v>
      </c>
      <c r="H170" s="2" t="s">
        <v>26</v>
      </c>
      <c r="I170" s="2">
        <v>1</v>
      </c>
      <c r="J170" s="4" t="s">
        <v>29</v>
      </c>
      <c r="K170" s="2" t="s">
        <v>30</v>
      </c>
      <c r="L170" s="2">
        <v>41</v>
      </c>
      <c r="M170" t="str" cm="1">
        <f t="array" ref="M170">_xlfn.IFS(L170&lt;=35,"YOUNG_ADULTS",L170&lt;=55,"MIDDLE_AGED",L170&gt;55,"OLD-AGED")</f>
        <v>MIDDLE_AGED</v>
      </c>
      <c r="N170" s="2" t="s">
        <v>20</v>
      </c>
      <c r="O170" t="str" cm="1">
        <f t="array" ref="O170">_xlfn.IFS(D170&lt;=50000,"low income",D170&lt;=100000,"Mid income",D170&gt;100000,"High income")</f>
        <v>Mid income</v>
      </c>
      <c r="P170" t="str" cm="1">
        <f t="array" ref="P170">_xlfn.IFS(E170&lt;=2,"&lt;=2",E170&gt;2,"&gt;2")</f>
        <v>&lt;=2</v>
      </c>
    </row>
    <row r="171" spans="1:16">
      <c r="A171" s="2">
        <v>12273</v>
      </c>
      <c r="B171" s="2" t="s">
        <v>16</v>
      </c>
      <c r="C171" s="2" t="s">
        <v>16</v>
      </c>
      <c r="D171" s="6">
        <v>30000</v>
      </c>
      <c r="E171" s="2">
        <v>1</v>
      </c>
      <c r="F171" s="2" t="s">
        <v>18</v>
      </c>
      <c r="G171" s="2" t="s">
        <v>24</v>
      </c>
      <c r="H171" s="2" t="s">
        <v>20</v>
      </c>
      <c r="I171" s="2">
        <v>0</v>
      </c>
      <c r="J171" s="4" t="s">
        <v>21</v>
      </c>
      <c r="K171" s="2" t="s">
        <v>22</v>
      </c>
      <c r="L171" s="2">
        <v>47</v>
      </c>
      <c r="M171" t="str" cm="1">
        <f t="array" ref="M171">_xlfn.IFS(L171&lt;=35,"YOUNG_ADULTS",L171&lt;=55,"MIDDLE_AGED",L171&gt;55,"OLD-AGED")</f>
        <v>MIDDLE_AGED</v>
      </c>
      <c r="O171" t="str" cm="1">
        <f t="array" ref="O171">_xlfn.IFS(D171&lt;=50000,"low income",D171&lt;=100000,"Mid income",D171&gt;100000,"High income")</f>
        <v>low income</v>
      </c>
      <c r="P171" t="str" cm="1">
        <f t="array" ref="P171">_xlfn.IFS(E171&lt;=2,"&lt;=2",E171&gt;2,"&gt;2")</f>
        <v>&lt;=2</v>
      </c>
    </row>
    <row r="172" spans="1:16">
      <c r="A172" s="2">
        <v>17203</v>
      </c>
      <c r="B172" s="2" t="s">
        <v>16</v>
      </c>
      <c r="C172" s="2" t="s">
        <v>17</v>
      </c>
      <c r="D172" s="6">
        <v>130000</v>
      </c>
      <c r="E172" s="2">
        <v>4</v>
      </c>
      <c r="F172" s="2" t="s">
        <v>23</v>
      </c>
      <c r="G172" s="2" t="s">
        <v>25</v>
      </c>
      <c r="H172" s="2" t="s">
        <v>20</v>
      </c>
      <c r="I172" s="2">
        <v>4</v>
      </c>
      <c r="J172" s="4" t="s">
        <v>29</v>
      </c>
      <c r="K172" s="2" t="s">
        <v>22</v>
      </c>
      <c r="L172" s="2">
        <v>61</v>
      </c>
      <c r="M172" t="str" cm="1">
        <f t="array" ref="M172">_xlfn.IFS(L172&lt;=35,"YOUNG_ADULTS",L172&lt;=55,"MIDDLE_AGED",L172&gt;55,"OLD-AGED")</f>
        <v>OLD-AGED</v>
      </c>
      <c r="N172" s="2" t="s">
        <v>20</v>
      </c>
      <c r="O172" t="str" cm="1">
        <f t="array" ref="O172">_xlfn.IFS(D172&lt;=50000,"low income",D172&lt;=100000,"Mid income",D172&gt;100000,"High income")</f>
        <v>High income</v>
      </c>
      <c r="P172" t="str" cm="1">
        <f t="array" ref="P172">_xlfn.IFS(E172&lt;=2,"&lt;=2",E172&gt;2,"&gt;2")</f>
        <v>&gt;2</v>
      </c>
    </row>
    <row r="173" spans="1:16">
      <c r="A173" s="2">
        <v>18144</v>
      </c>
      <c r="B173" s="2" t="s">
        <v>16</v>
      </c>
      <c r="C173" s="2" t="s">
        <v>17</v>
      </c>
      <c r="D173" s="6">
        <v>80000</v>
      </c>
      <c r="E173" s="2">
        <v>5</v>
      </c>
      <c r="F173" s="2" t="s">
        <v>18</v>
      </c>
      <c r="G173" s="2" t="s">
        <v>34</v>
      </c>
      <c r="H173" s="2" t="s">
        <v>20</v>
      </c>
      <c r="I173" s="2">
        <v>2</v>
      </c>
      <c r="J173" s="4" t="s">
        <v>27</v>
      </c>
      <c r="K173" s="2" t="s">
        <v>22</v>
      </c>
      <c r="L173" s="2">
        <v>61</v>
      </c>
      <c r="M173" t="str" cm="1">
        <f t="array" ref="M173">_xlfn.IFS(L173&lt;=35,"YOUNG_ADULTS",L173&lt;=55,"MIDDLE_AGED",L173&gt;55,"OLD-AGED")</f>
        <v>OLD-AGED</v>
      </c>
      <c r="O173" t="str" cm="1">
        <f t="array" ref="O173">_xlfn.IFS(D173&lt;=50000,"low income",D173&lt;=100000,"Mid income",D173&gt;100000,"High income")</f>
        <v>Mid income</v>
      </c>
      <c r="P173" t="str" cm="1">
        <f t="array" ref="P173">_xlfn.IFS(E173&lt;=2,"&lt;=2",E173&gt;2,"&gt;2")</f>
        <v>&gt;2</v>
      </c>
    </row>
    <row r="174" spans="1:16">
      <c r="A174" s="2">
        <v>23963</v>
      </c>
      <c r="B174" s="2" t="s">
        <v>16</v>
      </c>
      <c r="C174" s="2" t="s">
        <v>16</v>
      </c>
      <c r="D174" s="6">
        <v>10000</v>
      </c>
      <c r="E174" s="2">
        <v>0</v>
      </c>
      <c r="F174" s="2" t="s">
        <v>35</v>
      </c>
      <c r="G174" s="2" t="s">
        <v>31</v>
      </c>
      <c r="H174" s="2" t="s">
        <v>26</v>
      </c>
      <c r="I174" s="2">
        <v>2</v>
      </c>
      <c r="J174" s="4" t="s">
        <v>21</v>
      </c>
      <c r="K174" s="2" t="s">
        <v>22</v>
      </c>
      <c r="L174" s="2">
        <v>33</v>
      </c>
      <c r="M174" t="str" cm="1">
        <f t="array" ref="M174">_xlfn.IFS(L174&lt;=35,"YOUNG_ADULTS",L174&lt;=55,"MIDDLE_AGED",L174&gt;55,"OLD-AGED")</f>
        <v>YOUNG_ADULTS</v>
      </c>
      <c r="O174" t="str" cm="1">
        <f t="array" ref="O174">_xlfn.IFS(D174&lt;=50000,"low income",D174&lt;=100000,"Mid income",D174&gt;100000,"High income")</f>
        <v>low income</v>
      </c>
      <c r="P174" t="str" cm="1">
        <f t="array" ref="P174">_xlfn.IFS(E174&lt;=2,"&lt;=2",E174&gt;2,"&gt;2")</f>
        <v>&lt;=2</v>
      </c>
    </row>
    <row r="175" spans="1:16">
      <c r="A175" s="2">
        <v>17907</v>
      </c>
      <c r="B175" s="2" t="s">
        <v>16</v>
      </c>
      <c r="C175" s="2" t="s">
        <v>17</v>
      </c>
      <c r="D175" s="6">
        <v>10000</v>
      </c>
      <c r="E175" s="2">
        <v>0</v>
      </c>
      <c r="F175" s="2" t="s">
        <v>23</v>
      </c>
      <c r="G175" s="2" t="s">
        <v>31</v>
      </c>
      <c r="H175" s="2" t="s">
        <v>20</v>
      </c>
      <c r="I175" s="2">
        <v>1</v>
      </c>
      <c r="J175" s="4" t="s">
        <v>27</v>
      </c>
      <c r="K175" s="2" t="s">
        <v>30</v>
      </c>
      <c r="L175" s="2">
        <v>27</v>
      </c>
      <c r="M175" t="str" cm="1">
        <f t="array" ref="M175">_xlfn.IFS(L175&lt;=35,"YOUNG_ADULTS",L175&lt;=55,"MIDDLE_AGED",L175&gt;55,"OLD-AGED")</f>
        <v>YOUNG_ADULTS</v>
      </c>
      <c r="O175" t="str" cm="1">
        <f t="array" ref="O175">_xlfn.IFS(D175&lt;=50000,"low income",D175&lt;=100000,"Mid income",D175&gt;100000,"High income")</f>
        <v>low income</v>
      </c>
      <c r="P175" t="str" cm="1">
        <f t="array" ref="P175">_xlfn.IFS(E175&lt;=2,"&lt;=2",E175&gt;2,"&gt;2")</f>
        <v>&lt;=2</v>
      </c>
    </row>
    <row r="176" spans="1:16">
      <c r="A176" s="2">
        <v>19442</v>
      </c>
      <c r="B176" s="2" t="s">
        <v>28</v>
      </c>
      <c r="C176" s="2" t="s">
        <v>16</v>
      </c>
      <c r="D176" s="6">
        <v>50000</v>
      </c>
      <c r="E176" s="2">
        <v>0</v>
      </c>
      <c r="F176" s="2" t="s">
        <v>37</v>
      </c>
      <c r="G176" s="2" t="s">
        <v>19</v>
      </c>
      <c r="H176" s="2" t="s">
        <v>20</v>
      </c>
      <c r="I176" s="2">
        <v>0</v>
      </c>
      <c r="J176" s="4" t="s">
        <v>21</v>
      </c>
      <c r="K176" s="2" t="s">
        <v>22</v>
      </c>
      <c r="L176" s="2">
        <v>37</v>
      </c>
      <c r="M176" t="str" cm="1">
        <f t="array" ref="M176">_xlfn.IFS(L176&lt;=35,"YOUNG_ADULTS",L176&lt;=55,"MIDDLE_AGED",L176&gt;55,"OLD-AGED")</f>
        <v>MIDDLE_AGED</v>
      </c>
      <c r="N176" s="2" t="s">
        <v>20</v>
      </c>
      <c r="O176" t="str" cm="1">
        <f t="array" ref="O176">_xlfn.IFS(D176&lt;=50000,"low income",D176&lt;=100000,"Mid income",D176&gt;100000,"High income")</f>
        <v>low income</v>
      </c>
      <c r="P176" t="str" cm="1">
        <f t="array" ref="P176">_xlfn.IFS(E176&lt;=2,"&lt;=2",E176&gt;2,"&gt;2")</f>
        <v>&lt;=2</v>
      </c>
    </row>
    <row r="177" spans="1:16">
      <c r="A177" s="2">
        <v>17504</v>
      </c>
      <c r="B177" s="2" t="s">
        <v>28</v>
      </c>
      <c r="C177" s="2" t="s">
        <v>17</v>
      </c>
      <c r="D177" s="6">
        <v>80000</v>
      </c>
      <c r="E177" s="2">
        <v>2</v>
      </c>
      <c r="F177" s="2" t="s">
        <v>23</v>
      </c>
      <c r="G177" s="2" t="s">
        <v>19</v>
      </c>
      <c r="H177" s="2" t="s">
        <v>20</v>
      </c>
      <c r="I177" s="2">
        <v>2</v>
      </c>
      <c r="J177" s="4" t="s">
        <v>29</v>
      </c>
      <c r="K177" s="2" t="s">
        <v>30</v>
      </c>
      <c r="L177" s="2">
        <v>52</v>
      </c>
      <c r="M177" t="str" cm="1">
        <f t="array" ref="M177">_xlfn.IFS(L177&lt;=35,"YOUNG_ADULTS",L177&lt;=55,"MIDDLE_AGED",L177&gt;55,"OLD-AGED")</f>
        <v>MIDDLE_AGED</v>
      </c>
      <c r="N177" s="2" t="s">
        <v>20</v>
      </c>
      <c r="O177" t="str" cm="1">
        <f t="array" ref="O177">_xlfn.IFS(D177&lt;=50000,"low income",D177&lt;=100000,"Mid income",D177&gt;100000,"High income")</f>
        <v>Mid income</v>
      </c>
      <c r="P177" t="str" cm="1">
        <f t="array" ref="P177">_xlfn.IFS(E177&lt;=2,"&lt;=2",E177&gt;2,"&gt;2")</f>
        <v>&lt;=2</v>
      </c>
    </row>
    <row r="178" spans="1:16">
      <c r="A178" s="2">
        <v>12253</v>
      </c>
      <c r="B178" s="2" t="s">
        <v>28</v>
      </c>
      <c r="C178" s="2" t="s">
        <v>17</v>
      </c>
      <c r="D178" s="6">
        <v>20000</v>
      </c>
      <c r="E178" s="2">
        <v>0</v>
      </c>
      <c r="F178" s="2" t="s">
        <v>23</v>
      </c>
      <c r="G178" s="2" t="s">
        <v>31</v>
      </c>
      <c r="H178" s="2" t="s">
        <v>20</v>
      </c>
      <c r="I178" s="2">
        <v>0</v>
      </c>
      <c r="J178" s="4" t="s">
        <v>21</v>
      </c>
      <c r="K178" s="2" t="s">
        <v>30</v>
      </c>
      <c r="L178" s="2">
        <v>29</v>
      </c>
      <c r="M178" t="str" cm="1">
        <f t="array" ref="M178">_xlfn.IFS(L178&lt;=35,"YOUNG_ADULTS",L178&lt;=55,"MIDDLE_AGED",L178&gt;55,"OLD-AGED")</f>
        <v>YOUNG_ADULTS</v>
      </c>
      <c r="N178" s="2" t="s">
        <v>20</v>
      </c>
      <c r="O178" t="str" cm="1">
        <f t="array" ref="O178">_xlfn.IFS(D178&lt;=50000,"low income",D178&lt;=100000,"Mid income",D178&gt;100000,"High income")</f>
        <v>low income</v>
      </c>
      <c r="P178" t="str" cm="1">
        <f t="array" ref="P178">_xlfn.IFS(E178&lt;=2,"&lt;=2",E178&gt;2,"&gt;2")</f>
        <v>&lt;=2</v>
      </c>
    </row>
    <row r="179" spans="1:16">
      <c r="A179" s="2">
        <v>27304</v>
      </c>
      <c r="B179" s="2" t="s">
        <v>28</v>
      </c>
      <c r="C179" s="2" t="s">
        <v>17</v>
      </c>
      <c r="D179" s="6">
        <v>110000</v>
      </c>
      <c r="E179" s="2">
        <v>2</v>
      </c>
      <c r="F179" s="2" t="s">
        <v>23</v>
      </c>
      <c r="G179" s="2" t="s">
        <v>25</v>
      </c>
      <c r="H179" s="2" t="s">
        <v>26</v>
      </c>
      <c r="I179" s="2">
        <v>3</v>
      </c>
      <c r="J179" s="4" t="s">
        <v>29</v>
      </c>
      <c r="K179" s="2" t="s">
        <v>22</v>
      </c>
      <c r="L179" s="2">
        <v>48</v>
      </c>
      <c r="M179" t="str" cm="1">
        <f t="array" ref="M179">_xlfn.IFS(L179&lt;=35,"YOUNG_ADULTS",L179&lt;=55,"MIDDLE_AGED",L179&gt;55,"OLD-AGED")</f>
        <v>MIDDLE_AGED</v>
      </c>
      <c r="O179" t="str" cm="1">
        <f t="array" ref="O179">_xlfn.IFS(D179&lt;=50000,"low income",D179&lt;=100000,"Mid income",D179&gt;100000,"High income")</f>
        <v>High income</v>
      </c>
      <c r="P179" t="str" cm="1">
        <f t="array" ref="P179">_xlfn.IFS(E179&lt;=2,"&lt;=2",E179&gt;2,"&gt;2")</f>
        <v>&lt;=2</v>
      </c>
    </row>
    <row r="180" spans="1:16">
      <c r="A180" s="2">
        <v>14191</v>
      </c>
      <c r="B180" s="2" t="s">
        <v>16</v>
      </c>
      <c r="C180" s="2" t="s">
        <v>16</v>
      </c>
      <c r="D180" s="6">
        <v>160000</v>
      </c>
      <c r="E180" s="2">
        <v>4</v>
      </c>
      <c r="F180" s="2" t="s">
        <v>23</v>
      </c>
      <c r="G180" s="2" t="s">
        <v>25</v>
      </c>
      <c r="H180" s="2" t="s">
        <v>26</v>
      </c>
      <c r="I180" s="2">
        <v>2</v>
      </c>
      <c r="J180" s="4" t="s">
        <v>36</v>
      </c>
      <c r="K180" s="2" t="s">
        <v>22</v>
      </c>
      <c r="L180" s="2">
        <v>55</v>
      </c>
      <c r="M180" t="str" cm="1">
        <f t="array" ref="M180">_xlfn.IFS(L180&lt;=35,"YOUNG_ADULTS",L180&lt;=55,"MIDDLE_AGED",L180&gt;55,"OLD-AGED")</f>
        <v>MIDDLE_AGED</v>
      </c>
      <c r="N180" s="2" t="s">
        <v>20</v>
      </c>
      <c r="O180" t="str" cm="1">
        <f t="array" ref="O180">_xlfn.IFS(D180&lt;=50000,"low income",D180&lt;=100000,"Mid income",D180&gt;100000,"High income")</f>
        <v>High income</v>
      </c>
      <c r="P180" t="str" cm="1">
        <f t="array" ref="P180">_xlfn.IFS(E180&lt;=2,"&lt;=2",E180&gt;2,"&gt;2")</f>
        <v>&gt;2</v>
      </c>
    </row>
    <row r="181" spans="1:16">
      <c r="A181" s="2">
        <v>12212</v>
      </c>
      <c r="B181" s="2" t="s">
        <v>16</v>
      </c>
      <c r="C181" s="2" t="s">
        <v>17</v>
      </c>
      <c r="D181" s="6">
        <v>10000</v>
      </c>
      <c r="E181" s="2">
        <v>0</v>
      </c>
      <c r="F181" s="2" t="s">
        <v>37</v>
      </c>
      <c r="G181" s="2" t="s">
        <v>31</v>
      </c>
      <c r="H181" s="2" t="s">
        <v>20</v>
      </c>
      <c r="I181" s="2">
        <v>0</v>
      </c>
      <c r="J181" s="4" t="s">
        <v>21</v>
      </c>
      <c r="K181" s="2" t="s">
        <v>22</v>
      </c>
      <c r="L181" s="2">
        <v>37</v>
      </c>
      <c r="M181" t="str" cm="1">
        <f t="array" ref="M181">_xlfn.IFS(L181&lt;=35,"YOUNG_ADULTS",L181&lt;=55,"MIDDLE_AGED",L181&gt;55,"OLD-AGED")</f>
        <v>MIDDLE_AGED</v>
      </c>
      <c r="N181" s="2" t="s">
        <v>20</v>
      </c>
      <c r="O181" t="str" cm="1">
        <f t="array" ref="O181">_xlfn.IFS(D181&lt;=50000,"low income",D181&lt;=100000,"Mid income",D181&gt;100000,"High income")</f>
        <v>low income</v>
      </c>
      <c r="P181" t="str" cm="1">
        <f t="array" ref="P181">_xlfn.IFS(E181&lt;=2,"&lt;=2",E181&gt;2,"&gt;2")</f>
        <v>&lt;=2</v>
      </c>
    </row>
    <row r="182" spans="1:16">
      <c r="A182" s="2">
        <v>25529</v>
      </c>
      <c r="B182" s="2" t="s">
        <v>28</v>
      </c>
      <c r="C182" s="2" t="s">
        <v>16</v>
      </c>
      <c r="D182" s="6">
        <v>10000</v>
      </c>
      <c r="E182" s="2">
        <v>1</v>
      </c>
      <c r="F182" s="2" t="s">
        <v>37</v>
      </c>
      <c r="G182" s="2" t="s">
        <v>31</v>
      </c>
      <c r="H182" s="2" t="s">
        <v>20</v>
      </c>
      <c r="I182" s="2">
        <v>0</v>
      </c>
      <c r="J182" s="4" t="s">
        <v>21</v>
      </c>
      <c r="K182" s="2" t="s">
        <v>22</v>
      </c>
      <c r="L182" s="2">
        <v>44</v>
      </c>
      <c r="M182" t="str" cm="1">
        <f t="array" ref="M182">_xlfn.IFS(L182&lt;=35,"YOUNG_ADULTS",L182&lt;=55,"MIDDLE_AGED",L182&gt;55,"OLD-AGED")</f>
        <v>MIDDLE_AGED</v>
      </c>
      <c r="O182" t="str" cm="1">
        <f t="array" ref="O182">_xlfn.IFS(D182&lt;=50000,"low income",D182&lt;=100000,"Mid income",D182&gt;100000,"High income")</f>
        <v>low income</v>
      </c>
      <c r="P182" t="str" cm="1">
        <f t="array" ref="P182">_xlfn.IFS(E182&lt;=2,"&lt;=2",E182&gt;2,"&gt;2")</f>
        <v>&lt;=2</v>
      </c>
    </row>
    <row r="183" spans="1:16">
      <c r="A183" s="2">
        <v>22170</v>
      </c>
      <c r="B183" s="2" t="s">
        <v>16</v>
      </c>
      <c r="C183" s="2" t="s">
        <v>17</v>
      </c>
      <c r="D183" s="6">
        <v>30000</v>
      </c>
      <c r="E183" s="2">
        <v>3</v>
      </c>
      <c r="F183" s="2" t="s">
        <v>23</v>
      </c>
      <c r="G183" s="2" t="s">
        <v>24</v>
      </c>
      <c r="H183" s="2" t="s">
        <v>26</v>
      </c>
      <c r="I183" s="2">
        <v>2</v>
      </c>
      <c r="J183" s="4" t="s">
        <v>32</v>
      </c>
      <c r="K183" s="2" t="s">
        <v>30</v>
      </c>
      <c r="L183" s="2">
        <v>55</v>
      </c>
      <c r="M183" t="str" cm="1">
        <f t="array" ref="M183">_xlfn.IFS(L183&lt;=35,"YOUNG_ADULTS",L183&lt;=55,"MIDDLE_AGED",L183&gt;55,"OLD-AGED")</f>
        <v>MIDDLE_AGED</v>
      </c>
      <c r="N183" s="2" t="s">
        <v>20</v>
      </c>
      <c r="O183" t="str" cm="1">
        <f t="array" ref="O183">_xlfn.IFS(D183&lt;=50000,"low income",D183&lt;=100000,"Mid income",D183&gt;100000,"High income")</f>
        <v>low income</v>
      </c>
      <c r="P183" t="str" cm="1">
        <f t="array" ref="P183">_xlfn.IFS(E183&lt;=2,"&lt;=2",E183&gt;2,"&gt;2")</f>
        <v>&gt;2</v>
      </c>
    </row>
    <row r="184" spans="1:16">
      <c r="A184" s="2">
        <v>19445</v>
      </c>
      <c r="B184" s="2" t="s">
        <v>16</v>
      </c>
      <c r="C184" s="2" t="s">
        <v>17</v>
      </c>
      <c r="D184" s="6">
        <v>10000</v>
      </c>
      <c r="E184" s="2">
        <v>2</v>
      </c>
      <c r="F184" s="2" t="s">
        <v>33</v>
      </c>
      <c r="G184" s="2" t="s">
        <v>31</v>
      </c>
      <c r="H184" s="2" t="s">
        <v>26</v>
      </c>
      <c r="I184" s="2">
        <v>1</v>
      </c>
      <c r="J184" s="4" t="s">
        <v>21</v>
      </c>
      <c r="K184" s="2" t="s">
        <v>22</v>
      </c>
      <c r="L184" s="2">
        <v>38</v>
      </c>
      <c r="M184" t="str" cm="1">
        <f t="array" ref="M184">_xlfn.IFS(L184&lt;=35,"YOUNG_ADULTS",L184&lt;=55,"MIDDLE_AGED",L184&gt;55,"OLD-AGED")</f>
        <v>MIDDLE_AGED</v>
      </c>
      <c r="O184" t="str" cm="1">
        <f t="array" ref="O184">_xlfn.IFS(D184&lt;=50000,"low income",D184&lt;=100000,"Mid income",D184&gt;100000,"High income")</f>
        <v>low income</v>
      </c>
      <c r="P184" t="str" cm="1">
        <f t="array" ref="P184">_xlfn.IFS(E184&lt;=2,"&lt;=2",E184&gt;2,"&gt;2")</f>
        <v>&lt;=2</v>
      </c>
    </row>
    <row r="185" spans="1:16">
      <c r="A185" s="2">
        <v>15265</v>
      </c>
      <c r="B185" s="2" t="s">
        <v>28</v>
      </c>
      <c r="C185" s="2" t="s">
        <v>16</v>
      </c>
      <c r="D185" s="6">
        <v>40000</v>
      </c>
      <c r="E185" s="2">
        <v>2</v>
      </c>
      <c r="F185" s="2" t="s">
        <v>18</v>
      </c>
      <c r="G185" s="2" t="s">
        <v>34</v>
      </c>
      <c r="H185" s="2" t="s">
        <v>20</v>
      </c>
      <c r="I185" s="2">
        <v>2</v>
      </c>
      <c r="J185" s="4" t="s">
        <v>29</v>
      </c>
      <c r="K185" s="2" t="s">
        <v>30</v>
      </c>
      <c r="L185" s="2">
        <v>66</v>
      </c>
      <c r="M185" t="str" cm="1">
        <f t="array" ref="M185">_xlfn.IFS(L185&lt;=35,"YOUNG_ADULTS",L185&lt;=55,"MIDDLE_AGED",L185&gt;55,"OLD-AGED")</f>
        <v>OLD-AGED</v>
      </c>
      <c r="N185" s="2" t="s">
        <v>20</v>
      </c>
      <c r="O185" t="str" cm="1">
        <f t="array" ref="O185">_xlfn.IFS(D185&lt;=50000,"low income",D185&lt;=100000,"Mid income",D185&gt;100000,"High income")</f>
        <v>low income</v>
      </c>
      <c r="P185" t="str" cm="1">
        <f t="array" ref="P185">_xlfn.IFS(E185&lt;=2,"&lt;=2",E185&gt;2,"&gt;2")</f>
        <v>&lt;=2</v>
      </c>
    </row>
    <row r="186" spans="1:16">
      <c r="A186" s="2">
        <v>28918</v>
      </c>
      <c r="B186" s="2" t="s">
        <v>16</v>
      </c>
      <c r="C186" s="2" t="s">
        <v>17</v>
      </c>
      <c r="D186" s="6">
        <v>130000</v>
      </c>
      <c r="E186" s="2">
        <v>4</v>
      </c>
      <c r="F186" s="2" t="s">
        <v>33</v>
      </c>
      <c r="G186" s="2" t="s">
        <v>34</v>
      </c>
      <c r="H186" s="2" t="s">
        <v>26</v>
      </c>
      <c r="I186" s="2">
        <v>4</v>
      </c>
      <c r="J186" s="4" t="s">
        <v>36</v>
      </c>
      <c r="K186" s="2" t="s">
        <v>22</v>
      </c>
      <c r="L186" s="2">
        <v>58</v>
      </c>
      <c r="M186" t="str" cm="1">
        <f t="array" ref="M186">_xlfn.IFS(L186&lt;=35,"YOUNG_ADULTS",L186&lt;=55,"MIDDLE_AGED",L186&gt;55,"OLD-AGED")</f>
        <v>OLD-AGED</v>
      </c>
      <c r="O186" t="str" cm="1">
        <f t="array" ref="O186">_xlfn.IFS(D186&lt;=50000,"low income",D186&lt;=100000,"Mid income",D186&gt;100000,"High income")</f>
        <v>High income</v>
      </c>
      <c r="P186" t="str" cm="1">
        <f t="array" ref="P186">_xlfn.IFS(E186&lt;=2,"&lt;=2",E186&gt;2,"&gt;2")</f>
        <v>&gt;2</v>
      </c>
    </row>
    <row r="187" spans="1:16">
      <c r="A187" s="2">
        <v>15799</v>
      </c>
      <c r="B187" s="2" t="s">
        <v>16</v>
      </c>
      <c r="C187" s="2" t="s">
        <v>17</v>
      </c>
      <c r="D187" s="6">
        <v>90000</v>
      </c>
      <c r="E187" s="2">
        <v>1</v>
      </c>
      <c r="F187" s="2" t="s">
        <v>18</v>
      </c>
      <c r="G187" s="2" t="s">
        <v>25</v>
      </c>
      <c r="H187" s="2" t="s">
        <v>20</v>
      </c>
      <c r="I187" s="2">
        <v>1</v>
      </c>
      <c r="J187" s="4" t="s">
        <v>27</v>
      </c>
      <c r="K187" s="2" t="s">
        <v>30</v>
      </c>
      <c r="L187" s="2">
        <v>47</v>
      </c>
      <c r="M187" t="str" cm="1">
        <f t="array" ref="M187">_xlfn.IFS(L187&lt;=35,"YOUNG_ADULTS",L187&lt;=55,"MIDDLE_AGED",L187&gt;55,"OLD-AGED")</f>
        <v>MIDDLE_AGED</v>
      </c>
      <c r="N187" s="2" t="s">
        <v>20</v>
      </c>
      <c r="O187" t="str" cm="1">
        <f t="array" ref="O187">_xlfn.IFS(D187&lt;=50000,"low income",D187&lt;=100000,"Mid income",D187&gt;100000,"High income")</f>
        <v>Mid income</v>
      </c>
      <c r="P187" t="str" cm="1">
        <f t="array" ref="P187">_xlfn.IFS(E187&lt;=2,"&lt;=2",E187&gt;2,"&gt;2")</f>
        <v>&lt;=2</v>
      </c>
    </row>
    <row r="188" spans="1:16">
      <c r="A188" s="2">
        <v>11047</v>
      </c>
      <c r="B188" s="2" t="s">
        <v>16</v>
      </c>
      <c r="C188" s="2" t="s">
        <v>17</v>
      </c>
      <c r="D188" s="6">
        <v>30000</v>
      </c>
      <c r="E188" s="2">
        <v>3</v>
      </c>
      <c r="F188" s="2" t="s">
        <v>33</v>
      </c>
      <c r="G188" s="2" t="s">
        <v>19</v>
      </c>
      <c r="H188" s="2" t="s">
        <v>26</v>
      </c>
      <c r="I188" s="2">
        <v>2</v>
      </c>
      <c r="J188" s="4" t="s">
        <v>32</v>
      </c>
      <c r="K188" s="2" t="s">
        <v>30</v>
      </c>
      <c r="L188" s="2">
        <v>56</v>
      </c>
      <c r="M188" t="str" cm="1">
        <f t="array" ref="M188">_xlfn.IFS(L188&lt;=35,"YOUNG_ADULTS",L188&lt;=55,"MIDDLE_AGED",L188&gt;55,"OLD-AGED")</f>
        <v>OLD-AGED</v>
      </c>
      <c r="N188" s="2" t="s">
        <v>20</v>
      </c>
      <c r="O188" t="str" cm="1">
        <f t="array" ref="O188">_xlfn.IFS(D188&lt;=50000,"low income",D188&lt;=100000,"Mid income",D188&gt;100000,"High income")</f>
        <v>low income</v>
      </c>
      <c r="P188" t="str" cm="1">
        <f t="array" ref="P188">_xlfn.IFS(E188&lt;=2,"&lt;=2",E188&gt;2,"&gt;2")</f>
        <v>&gt;2</v>
      </c>
    </row>
    <row r="189" spans="1:16">
      <c r="A189" s="2">
        <v>18151</v>
      </c>
      <c r="B189" s="2" t="s">
        <v>28</v>
      </c>
      <c r="C189" s="2" t="s">
        <v>16</v>
      </c>
      <c r="D189" s="6">
        <v>80000</v>
      </c>
      <c r="E189" s="2">
        <v>5</v>
      </c>
      <c r="F189" s="2" t="s">
        <v>23</v>
      </c>
      <c r="G189" s="2" t="s">
        <v>25</v>
      </c>
      <c r="H189" s="2" t="s">
        <v>26</v>
      </c>
      <c r="I189" s="2">
        <v>2</v>
      </c>
      <c r="J189" s="4" t="s">
        <v>36</v>
      </c>
      <c r="K189" s="2" t="s">
        <v>22</v>
      </c>
      <c r="L189" s="2">
        <v>59</v>
      </c>
      <c r="M189" t="str" cm="1">
        <f t="array" ref="M189">_xlfn.IFS(L189&lt;=35,"YOUNG_ADULTS",L189&lt;=55,"MIDDLE_AGED",L189&gt;55,"OLD-AGED")</f>
        <v>OLD-AGED</v>
      </c>
      <c r="O189" t="str" cm="1">
        <f t="array" ref="O189">_xlfn.IFS(D189&lt;=50000,"low income",D189&lt;=100000,"Mid income",D189&gt;100000,"High income")</f>
        <v>Mid income</v>
      </c>
      <c r="P189" t="str" cm="1">
        <f t="array" ref="P189">_xlfn.IFS(E189&lt;=2,"&lt;=2",E189&gt;2,"&gt;2")</f>
        <v>&gt;2</v>
      </c>
    </row>
    <row r="190" spans="1:16">
      <c r="A190" s="2">
        <v>20606</v>
      </c>
      <c r="B190" s="2" t="s">
        <v>16</v>
      </c>
      <c r="C190" s="2" t="s">
        <v>17</v>
      </c>
      <c r="D190" s="6">
        <v>70000</v>
      </c>
      <c r="E190" s="2">
        <v>0</v>
      </c>
      <c r="F190" s="2" t="s">
        <v>18</v>
      </c>
      <c r="G190" s="2" t="s">
        <v>25</v>
      </c>
      <c r="H190" s="2" t="s">
        <v>20</v>
      </c>
      <c r="I190" s="2">
        <v>4</v>
      </c>
      <c r="J190" s="4" t="s">
        <v>36</v>
      </c>
      <c r="K190" s="2" t="s">
        <v>30</v>
      </c>
      <c r="L190" s="2">
        <v>32</v>
      </c>
      <c r="M190" t="str" cm="1">
        <f t="array" ref="M190">_xlfn.IFS(L190&lt;=35,"YOUNG_ADULTS",L190&lt;=55,"MIDDLE_AGED",L190&gt;55,"OLD-AGED")</f>
        <v>YOUNG_ADULTS</v>
      </c>
      <c r="N190" s="2" t="s">
        <v>20</v>
      </c>
      <c r="O190" t="str" cm="1">
        <f t="array" ref="O190">_xlfn.IFS(D190&lt;=50000,"low income",D190&lt;=100000,"Mid income",D190&gt;100000,"High income")</f>
        <v>Mid income</v>
      </c>
      <c r="P190" t="str" cm="1">
        <f t="array" ref="P190">_xlfn.IFS(E190&lt;=2,"&lt;=2",E190&gt;2,"&gt;2")</f>
        <v>&lt;=2</v>
      </c>
    </row>
    <row r="191" spans="1:16">
      <c r="A191" s="2">
        <v>19482</v>
      </c>
      <c r="B191" s="2" t="s">
        <v>16</v>
      </c>
      <c r="C191" s="2" t="s">
        <v>16</v>
      </c>
      <c r="D191" s="6">
        <v>30000</v>
      </c>
      <c r="E191" s="2">
        <v>1</v>
      </c>
      <c r="F191" s="2" t="s">
        <v>23</v>
      </c>
      <c r="G191" s="2" t="s">
        <v>24</v>
      </c>
      <c r="H191" s="2" t="s">
        <v>20</v>
      </c>
      <c r="I191" s="2">
        <v>1</v>
      </c>
      <c r="J191" s="4" t="s">
        <v>21</v>
      </c>
      <c r="K191" s="2" t="s">
        <v>22</v>
      </c>
      <c r="L191" s="2">
        <v>44</v>
      </c>
      <c r="M191" t="str" cm="1">
        <f t="array" ref="M191">_xlfn.IFS(L191&lt;=35,"YOUNG_ADULTS",L191&lt;=55,"MIDDLE_AGED",L191&gt;55,"OLD-AGED")</f>
        <v>MIDDLE_AGED</v>
      </c>
      <c r="N191" s="2" t="s">
        <v>20</v>
      </c>
      <c r="O191" t="str" cm="1">
        <f t="array" ref="O191">_xlfn.IFS(D191&lt;=50000,"low income",D191&lt;=100000,"Mid income",D191&gt;100000,"High income")</f>
        <v>low income</v>
      </c>
      <c r="P191" t="str" cm="1">
        <f t="array" ref="P191">_xlfn.IFS(E191&lt;=2,"&lt;=2",E191&gt;2,"&gt;2")</f>
        <v>&lt;=2</v>
      </c>
    </row>
    <row r="192" spans="1:16">
      <c r="A192" s="2">
        <v>16489</v>
      </c>
      <c r="B192" s="2" t="s">
        <v>16</v>
      </c>
      <c r="C192" s="2" t="s">
        <v>16</v>
      </c>
      <c r="D192" s="6">
        <v>30000</v>
      </c>
      <c r="E192" s="2">
        <v>3</v>
      </c>
      <c r="F192" s="2" t="s">
        <v>33</v>
      </c>
      <c r="G192" s="2" t="s">
        <v>19</v>
      </c>
      <c r="H192" s="2" t="s">
        <v>20</v>
      </c>
      <c r="I192" s="2">
        <v>2</v>
      </c>
      <c r="J192" s="4" t="s">
        <v>29</v>
      </c>
      <c r="K192" s="2" t="s">
        <v>30</v>
      </c>
      <c r="L192" s="2">
        <v>55</v>
      </c>
      <c r="M192" t="str" cm="1">
        <f t="array" ref="M192">_xlfn.IFS(L192&lt;=35,"YOUNG_ADULTS",L192&lt;=55,"MIDDLE_AGED",L192&gt;55,"OLD-AGED")</f>
        <v>MIDDLE_AGED</v>
      </c>
      <c r="O192" t="str" cm="1">
        <f t="array" ref="O192">_xlfn.IFS(D192&lt;=50000,"low income",D192&lt;=100000,"Mid income",D192&gt;100000,"High income")</f>
        <v>low income</v>
      </c>
      <c r="P192" t="str" cm="1">
        <f t="array" ref="P192">_xlfn.IFS(E192&lt;=2,"&lt;=2",E192&gt;2,"&gt;2")</f>
        <v>&gt;2</v>
      </c>
    </row>
    <row r="193" spans="1:16">
      <c r="A193" s="2">
        <v>26944</v>
      </c>
      <c r="B193" s="2" t="s">
        <v>28</v>
      </c>
      <c r="C193" s="2" t="s">
        <v>16</v>
      </c>
      <c r="D193" s="6">
        <v>90000</v>
      </c>
      <c r="E193" s="2">
        <v>2</v>
      </c>
      <c r="F193" s="2" t="s">
        <v>33</v>
      </c>
      <c r="G193" s="2" t="s">
        <v>31</v>
      </c>
      <c r="H193" s="2" t="s">
        <v>20</v>
      </c>
      <c r="I193" s="2">
        <v>0</v>
      </c>
      <c r="J193" s="4" t="s">
        <v>21</v>
      </c>
      <c r="K193" s="2" t="s">
        <v>22</v>
      </c>
      <c r="L193" s="2">
        <v>36</v>
      </c>
      <c r="M193" t="str" cm="1">
        <f t="array" ref="M193">_xlfn.IFS(L193&lt;=35,"YOUNG_ADULTS",L193&lt;=55,"MIDDLE_AGED",L193&gt;55,"OLD-AGED")</f>
        <v>MIDDLE_AGED</v>
      </c>
      <c r="N193" s="2" t="s">
        <v>20</v>
      </c>
      <c r="O193" t="str" cm="1">
        <f t="array" ref="O193">_xlfn.IFS(D193&lt;=50000,"low income",D193&lt;=100000,"Mid income",D193&gt;100000,"High income")</f>
        <v>Mid income</v>
      </c>
      <c r="P193" t="str" cm="1">
        <f t="array" ref="P193">_xlfn.IFS(E193&lt;=2,"&lt;=2",E193&gt;2,"&gt;2")</f>
        <v>&lt;=2</v>
      </c>
    </row>
    <row r="194" spans="1:16">
      <c r="A194" s="2">
        <v>15682</v>
      </c>
      <c r="B194" s="2" t="s">
        <v>28</v>
      </c>
      <c r="C194" s="2" t="s">
        <v>17</v>
      </c>
      <c r="D194" s="6">
        <v>80000</v>
      </c>
      <c r="E194" s="2">
        <v>5</v>
      </c>
      <c r="F194" s="2" t="s">
        <v>18</v>
      </c>
      <c r="G194" s="2" t="s">
        <v>34</v>
      </c>
      <c r="H194" s="2" t="s">
        <v>20</v>
      </c>
      <c r="I194" s="2">
        <v>2</v>
      </c>
      <c r="J194" s="4" t="s">
        <v>36</v>
      </c>
      <c r="K194" s="2" t="s">
        <v>22</v>
      </c>
      <c r="L194" s="2">
        <v>62</v>
      </c>
      <c r="M194" t="str" cm="1">
        <f t="array" ref="M194">_xlfn.IFS(L194&lt;=35,"YOUNG_ADULTS",L194&lt;=55,"MIDDLE_AGED",L194&gt;55,"OLD-AGED")</f>
        <v>OLD-AGED</v>
      </c>
      <c r="O194" t="str" cm="1">
        <f t="array" ref="O194">_xlfn.IFS(D194&lt;=50000,"low income",D194&lt;=100000,"Mid income",D194&gt;100000,"High income")</f>
        <v>Mid income</v>
      </c>
      <c r="P194" t="str" cm="1">
        <f t="array" ref="P194">_xlfn.IFS(E194&lt;=2,"&lt;=2",E194&gt;2,"&gt;2")</f>
        <v>&gt;2</v>
      </c>
    </row>
    <row r="195" spans="1:16">
      <c r="A195" s="2">
        <v>26032</v>
      </c>
      <c r="B195" s="2" t="s">
        <v>16</v>
      </c>
      <c r="C195" s="2" t="s">
        <v>17</v>
      </c>
      <c r="D195" s="6">
        <v>70000</v>
      </c>
      <c r="E195" s="2">
        <v>5</v>
      </c>
      <c r="F195" s="2" t="s">
        <v>18</v>
      </c>
      <c r="G195" s="2" t="s">
        <v>25</v>
      </c>
      <c r="H195" s="2" t="s">
        <v>20</v>
      </c>
      <c r="I195" s="2">
        <v>4</v>
      </c>
      <c r="J195" s="4" t="s">
        <v>36</v>
      </c>
      <c r="K195" s="2" t="s">
        <v>30</v>
      </c>
      <c r="L195" s="2">
        <v>41</v>
      </c>
      <c r="M195" t="str" cm="1">
        <f t="array" ref="M195">_xlfn.IFS(L195&lt;=35,"YOUNG_ADULTS",L195&lt;=55,"MIDDLE_AGED",L195&gt;55,"OLD-AGED")</f>
        <v>MIDDLE_AGED</v>
      </c>
      <c r="O195" t="str" cm="1">
        <f t="array" ref="O195">_xlfn.IFS(D195&lt;=50000,"low income",D195&lt;=100000,"Mid income",D195&gt;100000,"High income")</f>
        <v>Mid income</v>
      </c>
      <c r="P195" t="str" cm="1">
        <f t="array" ref="P195">_xlfn.IFS(E195&lt;=2,"&lt;=2",E195&gt;2,"&gt;2")</f>
        <v>&gt;2</v>
      </c>
    </row>
    <row r="196" spans="1:16">
      <c r="A196" s="2">
        <v>17843</v>
      </c>
      <c r="B196" s="2" t="s">
        <v>28</v>
      </c>
      <c r="C196" s="2" t="s">
        <v>17</v>
      </c>
      <c r="D196" s="6">
        <v>10000</v>
      </c>
      <c r="E196" s="2">
        <v>0</v>
      </c>
      <c r="F196" s="2" t="s">
        <v>35</v>
      </c>
      <c r="G196" s="2" t="s">
        <v>31</v>
      </c>
      <c r="H196" s="2" t="s">
        <v>26</v>
      </c>
      <c r="I196" s="2">
        <v>2</v>
      </c>
      <c r="J196" s="4" t="s">
        <v>21</v>
      </c>
      <c r="K196" s="2" t="s">
        <v>22</v>
      </c>
      <c r="L196" s="2">
        <v>32</v>
      </c>
      <c r="M196" t="str" cm="1">
        <f t="array" ref="M196">_xlfn.IFS(L196&lt;=35,"YOUNG_ADULTS",L196&lt;=55,"MIDDLE_AGED",L196&gt;55,"OLD-AGED")</f>
        <v>YOUNG_ADULTS</v>
      </c>
      <c r="O196" t="str" cm="1">
        <f t="array" ref="O196">_xlfn.IFS(D196&lt;=50000,"low income",D196&lt;=100000,"Mid income",D196&gt;100000,"High income")</f>
        <v>low income</v>
      </c>
      <c r="P196" t="str" cm="1">
        <f t="array" ref="P196">_xlfn.IFS(E196&lt;=2,"&lt;=2",E196&gt;2,"&gt;2")</f>
        <v>&lt;=2</v>
      </c>
    </row>
    <row r="197" spans="1:16">
      <c r="A197" s="2">
        <v>25559</v>
      </c>
      <c r="B197" s="2" t="s">
        <v>28</v>
      </c>
      <c r="C197" s="2" t="s">
        <v>16</v>
      </c>
      <c r="D197" s="6">
        <v>20000</v>
      </c>
      <c r="E197" s="2">
        <v>0</v>
      </c>
      <c r="F197" s="2" t="s">
        <v>18</v>
      </c>
      <c r="G197" s="2" t="s">
        <v>24</v>
      </c>
      <c r="H197" s="2" t="s">
        <v>20</v>
      </c>
      <c r="I197" s="2">
        <v>0</v>
      </c>
      <c r="J197" s="4" t="s">
        <v>21</v>
      </c>
      <c r="K197" s="2" t="s">
        <v>30</v>
      </c>
      <c r="L197" s="2">
        <v>25</v>
      </c>
      <c r="M197" t="str" cm="1">
        <f t="array" ref="M197">_xlfn.IFS(L197&lt;=35,"YOUNG_ADULTS",L197&lt;=55,"MIDDLE_AGED",L197&gt;55,"OLD-AGED")</f>
        <v>YOUNG_ADULTS</v>
      </c>
      <c r="N197" s="2" t="s">
        <v>20</v>
      </c>
      <c r="O197" t="str" cm="1">
        <f t="array" ref="O197">_xlfn.IFS(D197&lt;=50000,"low income",D197&lt;=100000,"Mid income",D197&gt;100000,"High income")</f>
        <v>low income</v>
      </c>
      <c r="P197" t="str" cm="1">
        <f t="array" ref="P197">_xlfn.IFS(E197&lt;=2,"&lt;=2",E197&gt;2,"&gt;2")</f>
        <v>&lt;=2</v>
      </c>
    </row>
    <row r="198" spans="1:16">
      <c r="A198" s="2">
        <v>16209</v>
      </c>
      <c r="B198" s="2" t="s">
        <v>28</v>
      </c>
      <c r="C198" s="2" t="s">
        <v>17</v>
      </c>
      <c r="D198" s="6">
        <v>50000</v>
      </c>
      <c r="E198" s="2">
        <v>0</v>
      </c>
      <c r="F198" s="2" t="s">
        <v>37</v>
      </c>
      <c r="G198" s="2" t="s">
        <v>19</v>
      </c>
      <c r="H198" s="2" t="s">
        <v>20</v>
      </c>
      <c r="I198" s="2">
        <v>0</v>
      </c>
      <c r="J198" s="4" t="s">
        <v>32</v>
      </c>
      <c r="K198" s="2" t="s">
        <v>22</v>
      </c>
      <c r="L198" s="2">
        <v>36</v>
      </c>
      <c r="M198" t="str" cm="1">
        <f t="array" ref="M198">_xlfn.IFS(L198&lt;=35,"YOUNG_ADULTS",L198&lt;=55,"MIDDLE_AGED",L198&gt;55,"OLD-AGED")</f>
        <v>MIDDLE_AGED</v>
      </c>
      <c r="O198" t="str" cm="1">
        <f t="array" ref="O198">_xlfn.IFS(D198&lt;=50000,"low income",D198&lt;=100000,"Mid income",D198&gt;100000,"High income")</f>
        <v>low income</v>
      </c>
      <c r="P198" t="str" cm="1">
        <f t="array" ref="P198">_xlfn.IFS(E198&lt;=2,"&lt;=2",E198&gt;2,"&gt;2")</f>
        <v>&lt;=2</v>
      </c>
    </row>
    <row r="199" spans="1:16">
      <c r="A199" s="2">
        <v>11147</v>
      </c>
      <c r="B199" s="2" t="s">
        <v>16</v>
      </c>
      <c r="C199" s="2" t="s">
        <v>16</v>
      </c>
      <c r="D199" s="6">
        <v>60000</v>
      </c>
      <c r="E199" s="2">
        <v>2</v>
      </c>
      <c r="F199" s="2" t="s">
        <v>37</v>
      </c>
      <c r="G199" s="2" t="s">
        <v>34</v>
      </c>
      <c r="H199" s="2" t="s">
        <v>20</v>
      </c>
      <c r="I199" s="2">
        <v>1</v>
      </c>
      <c r="J199" s="4" t="s">
        <v>21</v>
      </c>
      <c r="K199" s="2" t="s">
        <v>30</v>
      </c>
      <c r="L199" s="2">
        <v>67</v>
      </c>
      <c r="M199" t="str" cm="1">
        <f t="array" ref="M199">_xlfn.IFS(L199&lt;=35,"YOUNG_ADULTS",L199&lt;=55,"MIDDLE_AGED",L199&gt;55,"OLD-AGED")</f>
        <v>OLD-AGED</v>
      </c>
      <c r="N199" s="2" t="s">
        <v>20</v>
      </c>
      <c r="O199" t="str" cm="1">
        <f t="array" ref="O199">_xlfn.IFS(D199&lt;=50000,"low income",D199&lt;=100000,"Mid income",D199&gt;100000,"High income")</f>
        <v>Mid income</v>
      </c>
      <c r="P199" t="str" cm="1">
        <f t="array" ref="P199">_xlfn.IFS(E199&lt;=2,"&lt;=2",E199&gt;2,"&gt;2")</f>
        <v>&lt;=2</v>
      </c>
    </row>
    <row r="200" spans="1:16">
      <c r="A200" s="2">
        <v>15214</v>
      </c>
      <c r="B200" s="2" t="s">
        <v>28</v>
      </c>
      <c r="C200" s="2" t="s">
        <v>17</v>
      </c>
      <c r="D200" s="6">
        <v>100000</v>
      </c>
      <c r="E200" s="2">
        <v>0</v>
      </c>
      <c r="F200" s="2" t="s">
        <v>37</v>
      </c>
      <c r="G200" s="2" t="s">
        <v>34</v>
      </c>
      <c r="H200" s="2" t="s">
        <v>26</v>
      </c>
      <c r="I200" s="2">
        <v>1</v>
      </c>
      <c r="J200" s="4" t="s">
        <v>32</v>
      </c>
      <c r="K200" s="2" t="s">
        <v>30</v>
      </c>
      <c r="L200" s="2">
        <v>39</v>
      </c>
      <c r="M200" t="str" cm="1">
        <f t="array" ref="M200">_xlfn.IFS(L200&lt;=35,"YOUNG_ADULTS",L200&lt;=55,"MIDDLE_AGED",L200&gt;55,"OLD-AGED")</f>
        <v>MIDDLE_AGED</v>
      </c>
      <c r="N200" s="2" t="s">
        <v>20</v>
      </c>
      <c r="O200" t="str" cm="1">
        <f t="array" ref="O200">_xlfn.IFS(D200&lt;=50000,"low income",D200&lt;=100000,"Mid income",D200&gt;100000,"High income")</f>
        <v>Mid income</v>
      </c>
      <c r="P200" t="str" cm="1">
        <f t="array" ref="P200">_xlfn.IFS(E200&lt;=2,"&lt;=2",E200&gt;2,"&gt;2")</f>
        <v>&lt;=2</v>
      </c>
    </row>
    <row r="201" spans="1:16">
      <c r="A201" s="2">
        <v>11453</v>
      </c>
      <c r="B201" s="2" t="s">
        <v>28</v>
      </c>
      <c r="C201" s="2" t="s">
        <v>16</v>
      </c>
      <c r="D201" s="6">
        <v>80000</v>
      </c>
      <c r="E201" s="2">
        <v>0</v>
      </c>
      <c r="F201" s="2" t="s">
        <v>18</v>
      </c>
      <c r="G201" s="2" t="s">
        <v>25</v>
      </c>
      <c r="H201" s="2" t="s">
        <v>26</v>
      </c>
      <c r="I201" s="2">
        <v>3</v>
      </c>
      <c r="J201" s="4" t="s">
        <v>36</v>
      </c>
      <c r="K201" s="2" t="s">
        <v>30</v>
      </c>
      <c r="L201" s="2">
        <v>33</v>
      </c>
      <c r="M201" t="str" cm="1">
        <f t="array" ref="M201">_xlfn.IFS(L201&lt;=35,"YOUNG_ADULTS",L201&lt;=55,"MIDDLE_AGED",L201&gt;55,"OLD-AGED")</f>
        <v>YOUNG_ADULTS</v>
      </c>
      <c r="N201" s="2" t="s">
        <v>20</v>
      </c>
      <c r="O201" t="str" cm="1">
        <f t="array" ref="O201">_xlfn.IFS(D201&lt;=50000,"low income",D201&lt;=100000,"Mid income",D201&gt;100000,"High income")</f>
        <v>Mid income</v>
      </c>
      <c r="P201" t="str" cm="1">
        <f t="array" ref="P201">_xlfn.IFS(E201&lt;=2,"&lt;=2",E201&gt;2,"&gt;2")</f>
        <v>&lt;=2</v>
      </c>
    </row>
    <row r="202" spans="1:16">
      <c r="A202" s="2">
        <v>24584</v>
      </c>
      <c r="B202" s="2" t="s">
        <v>28</v>
      </c>
      <c r="C202" s="2" t="s">
        <v>16</v>
      </c>
      <c r="D202" s="6">
        <v>60000</v>
      </c>
      <c r="E202" s="2">
        <v>0</v>
      </c>
      <c r="F202" s="2" t="s">
        <v>18</v>
      </c>
      <c r="G202" s="2" t="s">
        <v>25</v>
      </c>
      <c r="H202" s="2" t="s">
        <v>26</v>
      </c>
      <c r="I202" s="2">
        <v>3</v>
      </c>
      <c r="J202" s="4" t="s">
        <v>27</v>
      </c>
      <c r="K202" s="2" t="s">
        <v>30</v>
      </c>
      <c r="L202" s="2">
        <v>31</v>
      </c>
      <c r="M202" t="str" cm="1">
        <f t="array" ref="M202">_xlfn.IFS(L202&lt;=35,"YOUNG_ADULTS",L202&lt;=55,"MIDDLE_AGED",L202&gt;55,"OLD-AGED")</f>
        <v>YOUNG_ADULTS</v>
      </c>
      <c r="O202" t="str" cm="1">
        <f t="array" ref="O202">_xlfn.IFS(D202&lt;=50000,"low income",D202&lt;=100000,"Mid income",D202&gt;100000,"High income")</f>
        <v>Mid income</v>
      </c>
      <c r="P202" t="str" cm="1">
        <f t="array" ref="P202">_xlfn.IFS(E202&lt;=2,"&lt;=2",E202&gt;2,"&gt;2")</f>
        <v>&lt;=2</v>
      </c>
    </row>
    <row r="203" spans="1:16">
      <c r="A203" s="2">
        <v>12585</v>
      </c>
      <c r="B203" s="2" t="s">
        <v>16</v>
      </c>
      <c r="C203" s="2" t="s">
        <v>16</v>
      </c>
      <c r="D203" s="6">
        <v>10000</v>
      </c>
      <c r="E203" s="2">
        <v>1</v>
      </c>
      <c r="F203" s="2" t="s">
        <v>33</v>
      </c>
      <c r="G203" s="2" t="s">
        <v>31</v>
      </c>
      <c r="H203" s="2" t="s">
        <v>20</v>
      </c>
      <c r="I203" s="2">
        <v>0</v>
      </c>
      <c r="J203" s="4" t="s">
        <v>27</v>
      </c>
      <c r="K203" s="2" t="s">
        <v>30</v>
      </c>
      <c r="L203" s="2">
        <v>27</v>
      </c>
      <c r="M203" t="str" cm="1">
        <f t="array" ref="M203">_xlfn.IFS(L203&lt;=35,"YOUNG_ADULTS",L203&lt;=55,"MIDDLE_AGED",L203&gt;55,"OLD-AGED")</f>
        <v>YOUNG_ADULTS</v>
      </c>
      <c r="N203" s="2" t="s">
        <v>20</v>
      </c>
      <c r="O203" t="str" cm="1">
        <f t="array" ref="O203">_xlfn.IFS(D203&lt;=50000,"low income",D203&lt;=100000,"Mid income",D203&gt;100000,"High income")</f>
        <v>low income</v>
      </c>
      <c r="P203" t="str" cm="1">
        <f t="array" ref="P203">_xlfn.IFS(E203&lt;=2,"&lt;=2",E203&gt;2,"&gt;2")</f>
        <v>&lt;=2</v>
      </c>
    </row>
    <row r="204" spans="1:16">
      <c r="A204" s="2">
        <v>18626</v>
      </c>
      <c r="B204" s="2" t="s">
        <v>28</v>
      </c>
      <c r="C204" s="2" t="s">
        <v>16</v>
      </c>
      <c r="D204" s="6">
        <v>40000</v>
      </c>
      <c r="E204" s="2">
        <v>2</v>
      </c>
      <c r="F204" s="2" t="s">
        <v>23</v>
      </c>
      <c r="G204" s="2" t="s">
        <v>24</v>
      </c>
      <c r="H204" s="2" t="s">
        <v>20</v>
      </c>
      <c r="I204" s="2">
        <v>0</v>
      </c>
      <c r="J204" s="4" t="s">
        <v>32</v>
      </c>
      <c r="K204" s="2" t="s">
        <v>22</v>
      </c>
      <c r="L204" s="2">
        <v>33</v>
      </c>
      <c r="M204" t="str" cm="1">
        <f t="array" ref="M204">_xlfn.IFS(L204&lt;=35,"YOUNG_ADULTS",L204&lt;=55,"MIDDLE_AGED",L204&gt;55,"OLD-AGED")</f>
        <v>YOUNG_ADULTS</v>
      </c>
      <c r="N204" s="2" t="s">
        <v>20</v>
      </c>
      <c r="O204" t="str" cm="1">
        <f t="array" ref="O204">_xlfn.IFS(D204&lt;=50000,"low income",D204&lt;=100000,"Mid income",D204&gt;100000,"High income")</f>
        <v>low income</v>
      </c>
      <c r="P204" t="str" cm="1">
        <f t="array" ref="P204">_xlfn.IFS(E204&lt;=2,"&lt;=2",E204&gt;2,"&gt;2")</f>
        <v>&lt;=2</v>
      </c>
    </row>
    <row r="205" spans="1:16">
      <c r="A205" s="2">
        <v>29298</v>
      </c>
      <c r="B205" s="2" t="s">
        <v>28</v>
      </c>
      <c r="C205" s="2" t="s">
        <v>17</v>
      </c>
      <c r="D205" s="6">
        <v>60000</v>
      </c>
      <c r="E205" s="2">
        <v>1</v>
      </c>
      <c r="F205" s="2" t="s">
        <v>23</v>
      </c>
      <c r="G205" s="2" t="s">
        <v>19</v>
      </c>
      <c r="H205" s="2" t="s">
        <v>20</v>
      </c>
      <c r="I205" s="2">
        <v>1</v>
      </c>
      <c r="J205" s="4" t="s">
        <v>29</v>
      </c>
      <c r="K205" s="2" t="s">
        <v>30</v>
      </c>
      <c r="L205" s="2">
        <v>46</v>
      </c>
      <c r="M205" t="str" cm="1">
        <f t="array" ref="M205">_xlfn.IFS(L205&lt;=35,"YOUNG_ADULTS",L205&lt;=55,"MIDDLE_AGED",L205&gt;55,"OLD-AGED")</f>
        <v>MIDDLE_AGED</v>
      </c>
      <c r="N205" s="2" t="s">
        <v>20</v>
      </c>
      <c r="O205" t="str" cm="1">
        <f t="array" ref="O205">_xlfn.IFS(D205&lt;=50000,"low income",D205&lt;=100000,"Mid income",D205&gt;100000,"High income")</f>
        <v>Mid income</v>
      </c>
      <c r="P205" t="str" cm="1">
        <f t="array" ref="P205">_xlfn.IFS(E205&lt;=2,"&lt;=2",E205&gt;2,"&gt;2")</f>
        <v>&lt;=2</v>
      </c>
    </row>
    <row r="206" spans="1:16">
      <c r="A206" s="2">
        <v>24842</v>
      </c>
      <c r="B206" s="2" t="s">
        <v>28</v>
      </c>
      <c r="C206" s="2" t="s">
        <v>17</v>
      </c>
      <c r="D206" s="6">
        <v>90000</v>
      </c>
      <c r="E206" s="2">
        <v>3</v>
      </c>
      <c r="F206" s="2" t="s">
        <v>33</v>
      </c>
      <c r="G206" s="2" t="s">
        <v>25</v>
      </c>
      <c r="H206" s="2" t="s">
        <v>26</v>
      </c>
      <c r="I206" s="2">
        <v>1</v>
      </c>
      <c r="J206" s="4" t="s">
        <v>27</v>
      </c>
      <c r="K206" s="2" t="s">
        <v>22</v>
      </c>
      <c r="L206" s="2">
        <v>51</v>
      </c>
      <c r="M206" t="str" cm="1">
        <f t="array" ref="M206">_xlfn.IFS(L206&lt;=35,"YOUNG_ADULTS",L206&lt;=55,"MIDDLE_AGED",L206&gt;55,"OLD-AGED")</f>
        <v>MIDDLE_AGED</v>
      </c>
      <c r="O206" t="str" cm="1">
        <f t="array" ref="O206">_xlfn.IFS(D206&lt;=50000,"low income",D206&lt;=100000,"Mid income",D206&gt;100000,"High income")</f>
        <v>Mid income</v>
      </c>
      <c r="P206" t="str" cm="1">
        <f t="array" ref="P206">_xlfn.IFS(E206&lt;=2,"&lt;=2",E206&gt;2,"&gt;2")</f>
        <v>&gt;2</v>
      </c>
    </row>
    <row r="207" spans="1:16">
      <c r="A207" s="2">
        <v>15657</v>
      </c>
      <c r="B207" s="2" t="s">
        <v>16</v>
      </c>
      <c r="C207" s="2" t="s">
        <v>16</v>
      </c>
      <c r="D207" s="6">
        <v>30000</v>
      </c>
      <c r="E207" s="2">
        <v>3</v>
      </c>
      <c r="F207" s="2" t="s">
        <v>37</v>
      </c>
      <c r="G207" s="2" t="s">
        <v>24</v>
      </c>
      <c r="H207" s="2" t="s">
        <v>20</v>
      </c>
      <c r="I207" s="2">
        <v>0</v>
      </c>
      <c r="J207" s="4" t="s">
        <v>21</v>
      </c>
      <c r="K207" s="2" t="s">
        <v>22</v>
      </c>
      <c r="L207" s="2">
        <v>46</v>
      </c>
      <c r="M207" t="str" cm="1">
        <f t="array" ref="M207">_xlfn.IFS(L207&lt;=35,"YOUNG_ADULTS",L207&lt;=55,"MIDDLE_AGED",L207&gt;55,"OLD-AGED")</f>
        <v>MIDDLE_AGED</v>
      </c>
      <c r="N207" s="2" t="s">
        <v>20</v>
      </c>
      <c r="O207" t="str" cm="1">
        <f t="array" ref="O207">_xlfn.IFS(D207&lt;=50000,"low income",D207&lt;=100000,"Mid income",D207&gt;100000,"High income")</f>
        <v>low income</v>
      </c>
      <c r="P207" t="str" cm="1">
        <f t="array" ref="P207">_xlfn.IFS(E207&lt;=2,"&lt;=2",E207&gt;2,"&gt;2")</f>
        <v>&gt;2</v>
      </c>
    </row>
    <row r="208" spans="1:16">
      <c r="A208" s="2">
        <v>11415</v>
      </c>
      <c r="B208" s="2" t="s">
        <v>28</v>
      </c>
      <c r="C208" s="2" t="s">
        <v>16</v>
      </c>
      <c r="D208" s="6">
        <v>90000</v>
      </c>
      <c r="E208" s="2">
        <v>5</v>
      </c>
      <c r="F208" s="2" t="s">
        <v>23</v>
      </c>
      <c r="G208" s="2" t="s">
        <v>25</v>
      </c>
      <c r="H208" s="2" t="s">
        <v>26</v>
      </c>
      <c r="I208" s="2">
        <v>2</v>
      </c>
      <c r="J208" s="4" t="s">
        <v>36</v>
      </c>
      <c r="K208" s="2" t="s">
        <v>22</v>
      </c>
      <c r="L208" s="2">
        <v>62</v>
      </c>
      <c r="M208" t="str" cm="1">
        <f t="array" ref="M208">_xlfn.IFS(L208&lt;=35,"YOUNG_ADULTS",L208&lt;=55,"MIDDLE_AGED",L208&gt;55,"OLD-AGED")</f>
        <v>OLD-AGED</v>
      </c>
      <c r="O208" t="str" cm="1">
        <f t="array" ref="O208">_xlfn.IFS(D208&lt;=50000,"low income",D208&lt;=100000,"Mid income",D208&gt;100000,"High income")</f>
        <v>Mid income</v>
      </c>
      <c r="P208" t="str" cm="1">
        <f t="array" ref="P208">_xlfn.IFS(E208&lt;=2,"&lt;=2",E208&gt;2,"&gt;2")</f>
        <v>&gt;2</v>
      </c>
    </row>
    <row r="209" spans="1:16">
      <c r="A209" s="2">
        <v>28729</v>
      </c>
      <c r="B209" s="2" t="s">
        <v>28</v>
      </c>
      <c r="C209" s="2" t="s">
        <v>17</v>
      </c>
      <c r="D209" s="6">
        <v>20000</v>
      </c>
      <c r="E209" s="2">
        <v>0</v>
      </c>
      <c r="F209" s="2" t="s">
        <v>35</v>
      </c>
      <c r="G209" s="2" t="s">
        <v>31</v>
      </c>
      <c r="H209" s="2" t="s">
        <v>20</v>
      </c>
      <c r="I209" s="2">
        <v>2</v>
      </c>
      <c r="J209" s="4" t="s">
        <v>32</v>
      </c>
      <c r="K209" s="2" t="s">
        <v>22</v>
      </c>
      <c r="L209" s="2">
        <v>26</v>
      </c>
      <c r="M209" t="str" cm="1">
        <f t="array" ref="M209">_xlfn.IFS(L209&lt;=35,"YOUNG_ADULTS",L209&lt;=55,"MIDDLE_AGED",L209&gt;55,"OLD-AGED")</f>
        <v>YOUNG_ADULTS</v>
      </c>
      <c r="N209" s="2" t="s">
        <v>20</v>
      </c>
      <c r="O209" t="str" cm="1">
        <f t="array" ref="O209">_xlfn.IFS(D209&lt;=50000,"low income",D209&lt;=100000,"Mid income",D209&gt;100000,"High income")</f>
        <v>low income</v>
      </c>
      <c r="P209" t="str" cm="1">
        <f t="array" ref="P209">_xlfn.IFS(E209&lt;=2,"&lt;=2",E209&gt;2,"&gt;2")</f>
        <v>&lt;=2</v>
      </c>
    </row>
    <row r="210" spans="1:16">
      <c r="A210" s="2">
        <v>22633</v>
      </c>
      <c r="B210" s="2" t="s">
        <v>28</v>
      </c>
      <c r="C210" s="2" t="s">
        <v>17</v>
      </c>
      <c r="D210" s="6">
        <v>40000</v>
      </c>
      <c r="E210" s="2">
        <v>0</v>
      </c>
      <c r="F210" s="2" t="s">
        <v>37</v>
      </c>
      <c r="G210" s="2" t="s">
        <v>24</v>
      </c>
      <c r="H210" s="2" t="s">
        <v>20</v>
      </c>
      <c r="I210" s="2">
        <v>0</v>
      </c>
      <c r="J210" s="4" t="s">
        <v>21</v>
      </c>
      <c r="K210" s="2" t="s">
        <v>22</v>
      </c>
      <c r="L210" s="2">
        <v>37</v>
      </c>
      <c r="M210" t="str" cm="1">
        <f t="array" ref="M210">_xlfn.IFS(L210&lt;=35,"YOUNG_ADULTS",L210&lt;=55,"MIDDLE_AGED",L210&gt;55,"OLD-AGED")</f>
        <v>MIDDLE_AGED</v>
      </c>
      <c r="N210" s="2" t="s">
        <v>20</v>
      </c>
      <c r="O210" t="str" cm="1">
        <f t="array" ref="O210">_xlfn.IFS(D210&lt;=50000,"low income",D210&lt;=100000,"Mid income",D210&gt;100000,"High income")</f>
        <v>low income</v>
      </c>
      <c r="P210" t="str" cm="1">
        <f t="array" ref="P210">_xlfn.IFS(E210&lt;=2,"&lt;=2",E210&gt;2,"&gt;2")</f>
        <v>&lt;=2</v>
      </c>
    </row>
    <row r="211" spans="1:16">
      <c r="A211" s="2">
        <v>25649</v>
      </c>
      <c r="B211" s="2" t="s">
        <v>28</v>
      </c>
      <c r="C211" s="2" t="s">
        <v>17</v>
      </c>
      <c r="D211" s="6">
        <v>30000</v>
      </c>
      <c r="E211" s="2">
        <v>3</v>
      </c>
      <c r="F211" s="2" t="s">
        <v>23</v>
      </c>
      <c r="G211" s="2" t="s">
        <v>24</v>
      </c>
      <c r="H211" s="2" t="s">
        <v>20</v>
      </c>
      <c r="I211" s="2">
        <v>0</v>
      </c>
      <c r="J211" s="4" t="s">
        <v>21</v>
      </c>
      <c r="K211" s="2" t="s">
        <v>22</v>
      </c>
      <c r="L211" s="2">
        <v>42</v>
      </c>
      <c r="M211" t="str" cm="1">
        <f t="array" ref="M211">_xlfn.IFS(L211&lt;=35,"YOUNG_ADULTS",L211&lt;=55,"MIDDLE_AGED",L211&gt;55,"OLD-AGED")</f>
        <v>MIDDLE_AGED</v>
      </c>
      <c r="N211" s="2" t="s">
        <v>20</v>
      </c>
      <c r="O211" t="str" cm="1">
        <f t="array" ref="O211">_xlfn.IFS(D211&lt;=50000,"low income",D211&lt;=100000,"Mid income",D211&gt;100000,"High income")</f>
        <v>low income</v>
      </c>
      <c r="P211" t="str" cm="1">
        <f t="array" ref="P211">_xlfn.IFS(E211&lt;=2,"&lt;=2",E211&gt;2,"&gt;2")</f>
        <v>&gt;2</v>
      </c>
    </row>
    <row r="212" spans="1:16">
      <c r="A212" s="2">
        <v>14669</v>
      </c>
      <c r="B212" s="2" t="s">
        <v>16</v>
      </c>
      <c r="C212" s="2" t="s">
        <v>17</v>
      </c>
      <c r="D212" s="6">
        <v>80000</v>
      </c>
      <c r="E212" s="2">
        <v>4</v>
      </c>
      <c r="F212" s="2" t="s">
        <v>37</v>
      </c>
      <c r="G212" s="2" t="s">
        <v>34</v>
      </c>
      <c r="H212" s="2" t="s">
        <v>20</v>
      </c>
      <c r="I212" s="2">
        <v>1</v>
      </c>
      <c r="J212" s="4" t="s">
        <v>21</v>
      </c>
      <c r="K212" s="2" t="s">
        <v>30</v>
      </c>
      <c r="L212" s="2">
        <v>36</v>
      </c>
      <c r="M212" t="str" cm="1">
        <f t="array" ref="M212">_xlfn.IFS(L212&lt;=35,"YOUNG_ADULTS",L212&lt;=55,"MIDDLE_AGED",L212&gt;55,"OLD-AGED")</f>
        <v>MIDDLE_AGED</v>
      </c>
      <c r="O212" t="str" cm="1">
        <f t="array" ref="O212">_xlfn.IFS(D212&lt;=50000,"low income",D212&lt;=100000,"Mid income",D212&gt;100000,"High income")</f>
        <v>Mid income</v>
      </c>
      <c r="P212" t="str" cm="1">
        <f t="array" ref="P212">_xlfn.IFS(E212&lt;=2,"&lt;=2",E212&gt;2,"&gt;2")</f>
        <v>&gt;2</v>
      </c>
    </row>
    <row r="213" spans="1:16">
      <c r="A213" s="2">
        <v>19299</v>
      </c>
      <c r="B213" s="2" t="s">
        <v>16</v>
      </c>
      <c r="C213" s="2" t="s">
        <v>17</v>
      </c>
      <c r="D213" s="6">
        <v>50000</v>
      </c>
      <c r="E213" s="2">
        <v>0</v>
      </c>
      <c r="F213" s="2" t="s">
        <v>37</v>
      </c>
      <c r="G213" s="2" t="s">
        <v>19</v>
      </c>
      <c r="H213" s="2" t="s">
        <v>20</v>
      </c>
      <c r="I213" s="2">
        <v>0</v>
      </c>
      <c r="J213" s="4" t="s">
        <v>21</v>
      </c>
      <c r="K213" s="2" t="s">
        <v>22</v>
      </c>
      <c r="L213" s="2">
        <v>36</v>
      </c>
      <c r="M213" t="str" cm="1">
        <f t="array" ref="M213">_xlfn.IFS(L213&lt;=35,"YOUNG_ADULTS",L213&lt;=55,"MIDDLE_AGED",L213&gt;55,"OLD-AGED")</f>
        <v>MIDDLE_AGED</v>
      </c>
      <c r="N213" s="2" t="s">
        <v>20</v>
      </c>
      <c r="O213" t="str" cm="1">
        <f t="array" ref="O213">_xlfn.IFS(D213&lt;=50000,"low income",D213&lt;=100000,"Mid income",D213&gt;100000,"High income")</f>
        <v>low income</v>
      </c>
      <c r="P213" t="str" cm="1">
        <f t="array" ref="P213">_xlfn.IFS(E213&lt;=2,"&lt;=2",E213&gt;2,"&gt;2")</f>
        <v>&lt;=2</v>
      </c>
    </row>
    <row r="214" spans="1:16">
      <c r="A214" s="2">
        <v>20946</v>
      </c>
      <c r="B214" s="2" t="s">
        <v>28</v>
      </c>
      <c r="C214" s="2" t="s">
        <v>17</v>
      </c>
      <c r="D214" s="6">
        <v>30000</v>
      </c>
      <c r="E214" s="2">
        <v>0</v>
      </c>
      <c r="F214" s="2" t="s">
        <v>23</v>
      </c>
      <c r="G214" s="2" t="s">
        <v>24</v>
      </c>
      <c r="H214" s="2" t="s">
        <v>26</v>
      </c>
      <c r="I214" s="2">
        <v>1</v>
      </c>
      <c r="J214" s="4" t="s">
        <v>27</v>
      </c>
      <c r="K214" s="2" t="s">
        <v>22</v>
      </c>
      <c r="L214" s="2">
        <v>30</v>
      </c>
      <c r="M214" t="str" cm="1">
        <f t="array" ref="M214">_xlfn.IFS(L214&lt;=35,"YOUNG_ADULTS",L214&lt;=55,"MIDDLE_AGED",L214&gt;55,"OLD-AGED")</f>
        <v>YOUNG_ADULTS</v>
      </c>
      <c r="O214" t="str" cm="1">
        <f t="array" ref="O214">_xlfn.IFS(D214&lt;=50000,"low income",D214&lt;=100000,"Mid income",D214&gt;100000,"High income")</f>
        <v>low income</v>
      </c>
      <c r="P214" t="str" cm="1">
        <f t="array" ref="P214">_xlfn.IFS(E214&lt;=2,"&lt;=2",E214&gt;2,"&gt;2")</f>
        <v>&lt;=2</v>
      </c>
    </row>
    <row r="215" spans="1:16">
      <c r="A215" s="2">
        <v>11451</v>
      </c>
      <c r="B215" s="2" t="s">
        <v>28</v>
      </c>
      <c r="C215" s="2" t="s">
        <v>16</v>
      </c>
      <c r="D215" s="6">
        <v>70000</v>
      </c>
      <c r="E215" s="2">
        <v>0</v>
      </c>
      <c r="F215" s="2" t="s">
        <v>18</v>
      </c>
      <c r="G215" s="2" t="s">
        <v>25</v>
      </c>
      <c r="H215" s="2" t="s">
        <v>26</v>
      </c>
      <c r="I215" s="2">
        <v>4</v>
      </c>
      <c r="J215" s="4" t="s">
        <v>36</v>
      </c>
      <c r="K215" s="2" t="s">
        <v>30</v>
      </c>
      <c r="L215" s="2">
        <v>31</v>
      </c>
      <c r="M215" t="str" cm="1">
        <f t="array" ref="M215">_xlfn.IFS(L215&lt;=35,"YOUNG_ADULTS",L215&lt;=55,"MIDDLE_AGED",L215&gt;55,"OLD-AGED")</f>
        <v>YOUNG_ADULTS</v>
      </c>
      <c r="N215" s="2" t="s">
        <v>20</v>
      </c>
      <c r="O215" t="str" cm="1">
        <f t="array" ref="O215">_xlfn.IFS(D215&lt;=50000,"low income",D215&lt;=100000,"Mid income",D215&gt;100000,"High income")</f>
        <v>Mid income</v>
      </c>
      <c r="P215" t="str" cm="1">
        <f t="array" ref="P215">_xlfn.IFS(E215&lt;=2,"&lt;=2",E215&gt;2,"&gt;2")</f>
        <v>&lt;=2</v>
      </c>
    </row>
    <row r="216" spans="1:16">
      <c r="A216" s="2">
        <v>25553</v>
      </c>
      <c r="B216" s="2" t="s">
        <v>16</v>
      </c>
      <c r="C216" s="2" t="s">
        <v>16</v>
      </c>
      <c r="D216" s="6">
        <v>30000</v>
      </c>
      <c r="E216" s="2">
        <v>1</v>
      </c>
      <c r="F216" s="2" t="s">
        <v>18</v>
      </c>
      <c r="G216" s="2" t="s">
        <v>24</v>
      </c>
      <c r="H216" s="2" t="s">
        <v>20</v>
      </c>
      <c r="I216" s="2">
        <v>0</v>
      </c>
      <c r="J216" s="4" t="s">
        <v>21</v>
      </c>
      <c r="K216" s="2" t="s">
        <v>22</v>
      </c>
      <c r="L216" s="2">
        <v>65</v>
      </c>
      <c r="M216" t="str" cm="1">
        <f t="array" ref="M216">_xlfn.IFS(L216&lt;=35,"YOUNG_ADULTS",L216&lt;=55,"MIDDLE_AGED",L216&gt;55,"OLD-AGED")</f>
        <v>OLD-AGED</v>
      </c>
      <c r="N216" s="2" t="s">
        <v>20</v>
      </c>
      <c r="O216" t="str" cm="1">
        <f t="array" ref="O216">_xlfn.IFS(D216&lt;=50000,"low income",D216&lt;=100000,"Mid income",D216&gt;100000,"High income")</f>
        <v>low income</v>
      </c>
      <c r="P216" t="str" cm="1">
        <f t="array" ref="P216">_xlfn.IFS(E216&lt;=2,"&lt;=2",E216&gt;2,"&gt;2")</f>
        <v>&lt;=2</v>
      </c>
    </row>
    <row r="217" spans="1:16">
      <c r="A217" s="2">
        <v>27951</v>
      </c>
      <c r="B217" s="2" t="s">
        <v>28</v>
      </c>
      <c r="C217" s="2" t="s">
        <v>16</v>
      </c>
      <c r="D217" s="6">
        <v>80000</v>
      </c>
      <c r="E217" s="2">
        <v>4</v>
      </c>
      <c r="F217" s="2" t="s">
        <v>23</v>
      </c>
      <c r="G217" s="2" t="s">
        <v>25</v>
      </c>
      <c r="H217" s="2" t="s">
        <v>26</v>
      </c>
      <c r="I217" s="2">
        <v>2</v>
      </c>
      <c r="J217" s="4" t="s">
        <v>27</v>
      </c>
      <c r="K217" s="2" t="s">
        <v>22</v>
      </c>
      <c r="L217" s="2">
        <v>54</v>
      </c>
      <c r="M217" t="str" cm="1">
        <f t="array" ref="M217">_xlfn.IFS(L217&lt;=35,"YOUNG_ADULTS",L217&lt;=55,"MIDDLE_AGED",L217&gt;55,"OLD-AGED")</f>
        <v>MIDDLE_AGED</v>
      </c>
      <c r="N217" s="2" t="s">
        <v>20</v>
      </c>
      <c r="O217" t="str" cm="1">
        <f t="array" ref="O217">_xlfn.IFS(D217&lt;=50000,"low income",D217&lt;=100000,"Mid income",D217&gt;100000,"High income")</f>
        <v>Mid income</v>
      </c>
      <c r="P217" t="str" cm="1">
        <f t="array" ref="P217">_xlfn.IFS(E217&lt;=2,"&lt;=2",E217&gt;2,"&gt;2")</f>
        <v>&gt;2</v>
      </c>
    </row>
    <row r="218" spans="1:16">
      <c r="A218" s="2">
        <v>25026</v>
      </c>
      <c r="B218" s="2" t="s">
        <v>16</v>
      </c>
      <c r="C218" s="2" t="s">
        <v>16</v>
      </c>
      <c r="D218" s="6">
        <v>20000</v>
      </c>
      <c r="E218" s="2">
        <v>2</v>
      </c>
      <c r="F218" s="2" t="s">
        <v>35</v>
      </c>
      <c r="G218" s="2" t="s">
        <v>24</v>
      </c>
      <c r="H218" s="2" t="s">
        <v>20</v>
      </c>
      <c r="I218" s="2">
        <v>3</v>
      </c>
      <c r="J218" s="4" t="s">
        <v>29</v>
      </c>
      <c r="K218" s="2" t="s">
        <v>30</v>
      </c>
      <c r="L218" s="2">
        <v>54</v>
      </c>
      <c r="M218" t="str" cm="1">
        <f t="array" ref="M218">_xlfn.IFS(L218&lt;=35,"YOUNG_ADULTS",L218&lt;=55,"MIDDLE_AGED",L218&gt;55,"OLD-AGED")</f>
        <v>MIDDLE_AGED</v>
      </c>
      <c r="O218" t="str" cm="1">
        <f t="array" ref="O218">_xlfn.IFS(D218&lt;=50000,"low income",D218&lt;=100000,"Mid income",D218&gt;100000,"High income")</f>
        <v>low income</v>
      </c>
      <c r="P218" t="str" cm="1">
        <f t="array" ref="P218">_xlfn.IFS(E218&lt;=2,"&lt;=2",E218&gt;2,"&gt;2")</f>
        <v>&lt;=2</v>
      </c>
    </row>
    <row r="219" spans="1:16">
      <c r="A219" s="2">
        <v>13673</v>
      </c>
      <c r="B219" s="2" t="s">
        <v>28</v>
      </c>
      <c r="C219" s="2" t="s">
        <v>17</v>
      </c>
      <c r="D219" s="6">
        <v>20000</v>
      </c>
      <c r="E219" s="2">
        <v>0</v>
      </c>
      <c r="F219" s="2" t="s">
        <v>35</v>
      </c>
      <c r="G219" s="2" t="s">
        <v>31</v>
      </c>
      <c r="H219" s="2" t="s">
        <v>26</v>
      </c>
      <c r="I219" s="2">
        <v>2</v>
      </c>
      <c r="J219" s="4" t="s">
        <v>21</v>
      </c>
      <c r="K219" s="2" t="s">
        <v>22</v>
      </c>
      <c r="L219" s="2">
        <v>25</v>
      </c>
      <c r="M219" t="str" cm="1">
        <f t="array" ref="M219">_xlfn.IFS(L219&lt;=35,"YOUNG_ADULTS",L219&lt;=55,"MIDDLE_AGED",L219&gt;55,"OLD-AGED")</f>
        <v>YOUNG_ADULTS</v>
      </c>
      <c r="O219" t="str" cm="1">
        <f t="array" ref="O219">_xlfn.IFS(D219&lt;=50000,"low income",D219&lt;=100000,"Mid income",D219&gt;100000,"High income")</f>
        <v>low income</v>
      </c>
      <c r="P219" t="str" cm="1">
        <f t="array" ref="P219">_xlfn.IFS(E219&lt;=2,"&lt;=2",E219&gt;2,"&gt;2")</f>
        <v>&lt;=2</v>
      </c>
    </row>
    <row r="220" spans="1:16">
      <c r="A220" s="2">
        <v>16043</v>
      </c>
      <c r="B220" s="2" t="s">
        <v>28</v>
      </c>
      <c r="C220" s="2" t="s">
        <v>16</v>
      </c>
      <c r="D220" s="6">
        <v>10000</v>
      </c>
      <c r="E220" s="2">
        <v>1</v>
      </c>
      <c r="F220" s="2" t="s">
        <v>18</v>
      </c>
      <c r="G220" s="2" t="s">
        <v>31</v>
      </c>
      <c r="H220" s="2" t="s">
        <v>20</v>
      </c>
      <c r="I220" s="2">
        <v>0</v>
      </c>
      <c r="J220" s="4" t="s">
        <v>21</v>
      </c>
      <c r="K220" s="2" t="s">
        <v>22</v>
      </c>
      <c r="L220" s="2">
        <v>48</v>
      </c>
      <c r="M220" t="str" cm="1">
        <f t="array" ref="M220">_xlfn.IFS(L220&lt;=35,"YOUNG_ADULTS",L220&lt;=55,"MIDDLE_AGED",L220&gt;55,"OLD-AGED")</f>
        <v>MIDDLE_AGED</v>
      </c>
      <c r="O220" t="str" cm="1">
        <f t="array" ref="O220">_xlfn.IFS(D220&lt;=50000,"low income",D220&lt;=100000,"Mid income",D220&gt;100000,"High income")</f>
        <v>low income</v>
      </c>
      <c r="P220" t="str" cm="1">
        <f t="array" ref="P220">_xlfn.IFS(E220&lt;=2,"&lt;=2",E220&gt;2,"&gt;2")</f>
        <v>&lt;=2</v>
      </c>
    </row>
    <row r="221" spans="1:16">
      <c r="A221" s="2">
        <v>22399</v>
      </c>
      <c r="B221" s="2" t="s">
        <v>28</v>
      </c>
      <c r="C221" s="2" t="s">
        <v>16</v>
      </c>
      <c r="D221" s="6">
        <v>10000</v>
      </c>
      <c r="E221" s="2">
        <v>0</v>
      </c>
      <c r="F221" s="2" t="s">
        <v>23</v>
      </c>
      <c r="G221" s="2" t="s">
        <v>31</v>
      </c>
      <c r="H221" s="2" t="s">
        <v>20</v>
      </c>
      <c r="I221" s="2">
        <v>1</v>
      </c>
      <c r="J221" s="4" t="s">
        <v>32</v>
      </c>
      <c r="K221" s="2" t="s">
        <v>30</v>
      </c>
      <c r="L221" s="2">
        <v>26</v>
      </c>
      <c r="M221" t="str" cm="1">
        <f t="array" ref="M221">_xlfn.IFS(L221&lt;=35,"YOUNG_ADULTS",L221&lt;=55,"MIDDLE_AGED",L221&gt;55,"OLD-AGED")</f>
        <v>YOUNG_ADULTS</v>
      </c>
      <c r="N221" s="2" t="s">
        <v>20</v>
      </c>
      <c r="O221" t="str" cm="1">
        <f t="array" ref="O221">_xlfn.IFS(D221&lt;=50000,"low income",D221&lt;=100000,"Mid income",D221&gt;100000,"High income")</f>
        <v>low income</v>
      </c>
      <c r="P221" t="str" cm="1">
        <f t="array" ref="P221">_xlfn.IFS(E221&lt;=2,"&lt;=2",E221&gt;2,"&gt;2")</f>
        <v>&lt;=2</v>
      </c>
    </row>
    <row r="222" spans="1:16">
      <c r="A222" s="2">
        <v>27696</v>
      </c>
      <c r="B222" s="2" t="s">
        <v>16</v>
      </c>
      <c r="C222" s="2" t="s">
        <v>16</v>
      </c>
      <c r="D222" s="6">
        <v>60000</v>
      </c>
      <c r="E222" s="2">
        <v>1</v>
      </c>
      <c r="F222" s="2" t="s">
        <v>18</v>
      </c>
      <c r="G222" s="2" t="s">
        <v>25</v>
      </c>
      <c r="H222" s="2" t="s">
        <v>20</v>
      </c>
      <c r="I222" s="2">
        <v>1</v>
      </c>
      <c r="J222" s="4" t="s">
        <v>29</v>
      </c>
      <c r="K222" s="2" t="s">
        <v>30</v>
      </c>
      <c r="L222" s="2">
        <v>43</v>
      </c>
      <c r="M222" t="str" cm="1">
        <f t="array" ref="M222">_xlfn.IFS(L222&lt;=35,"YOUNG_ADULTS",L222&lt;=55,"MIDDLE_AGED",L222&gt;55,"OLD-AGED")</f>
        <v>MIDDLE_AGED</v>
      </c>
      <c r="N222" s="2" t="s">
        <v>20</v>
      </c>
      <c r="O222" t="str" cm="1">
        <f t="array" ref="O222">_xlfn.IFS(D222&lt;=50000,"low income",D222&lt;=100000,"Mid income",D222&gt;100000,"High income")</f>
        <v>Mid income</v>
      </c>
      <c r="P222" t="str" cm="1">
        <f t="array" ref="P222">_xlfn.IFS(E222&lt;=2,"&lt;=2",E222&gt;2,"&gt;2")</f>
        <v>&lt;=2</v>
      </c>
    </row>
    <row r="223" spans="1:16">
      <c r="A223" s="2">
        <v>25313</v>
      </c>
      <c r="B223" s="2" t="s">
        <v>28</v>
      </c>
      <c r="C223" s="2" t="s">
        <v>16</v>
      </c>
      <c r="D223" s="6">
        <v>10000</v>
      </c>
      <c r="E223" s="2">
        <v>0</v>
      </c>
      <c r="F223" s="2" t="s">
        <v>35</v>
      </c>
      <c r="G223" s="2" t="s">
        <v>31</v>
      </c>
      <c r="H223" s="2" t="s">
        <v>26</v>
      </c>
      <c r="I223" s="2">
        <v>2</v>
      </c>
      <c r="J223" s="4" t="s">
        <v>32</v>
      </c>
      <c r="K223" s="2" t="s">
        <v>22</v>
      </c>
      <c r="L223" s="2">
        <v>35</v>
      </c>
      <c r="M223" t="str" cm="1">
        <f t="array" ref="M223">_xlfn.IFS(L223&lt;=35,"YOUNG_ADULTS",L223&lt;=55,"MIDDLE_AGED",L223&gt;55,"OLD-AGED")</f>
        <v>YOUNG_ADULTS</v>
      </c>
      <c r="O223" t="str" cm="1">
        <f t="array" ref="O223">_xlfn.IFS(D223&lt;=50000,"low income",D223&lt;=100000,"Mid income",D223&gt;100000,"High income")</f>
        <v>low income</v>
      </c>
      <c r="P223" t="str" cm="1">
        <f t="array" ref="P223">_xlfn.IFS(E223&lt;=2,"&lt;=2",E223&gt;2,"&gt;2")</f>
        <v>&lt;=2</v>
      </c>
    </row>
    <row r="224" spans="1:16">
      <c r="A224" s="2">
        <v>13813</v>
      </c>
      <c r="B224" s="2" t="s">
        <v>16</v>
      </c>
      <c r="C224" s="2" t="s">
        <v>17</v>
      </c>
      <c r="D224" s="6">
        <v>30000</v>
      </c>
      <c r="E224" s="2">
        <v>3</v>
      </c>
      <c r="F224" s="2" t="s">
        <v>23</v>
      </c>
      <c r="G224" s="2" t="s">
        <v>24</v>
      </c>
      <c r="H224" s="2" t="s">
        <v>26</v>
      </c>
      <c r="I224" s="2">
        <v>0</v>
      </c>
      <c r="J224" s="4" t="s">
        <v>21</v>
      </c>
      <c r="K224" s="2" t="s">
        <v>22</v>
      </c>
      <c r="L224" s="2">
        <v>42</v>
      </c>
      <c r="M224" t="str" cm="1">
        <f t="array" ref="M224">_xlfn.IFS(L224&lt;=35,"YOUNG_ADULTS",L224&lt;=55,"MIDDLE_AGED",L224&gt;55,"OLD-AGED")</f>
        <v>MIDDLE_AGED</v>
      </c>
      <c r="O224" t="str" cm="1">
        <f t="array" ref="O224">_xlfn.IFS(D224&lt;=50000,"low income",D224&lt;=100000,"Mid income",D224&gt;100000,"High income")</f>
        <v>low income</v>
      </c>
      <c r="P224" t="str" cm="1">
        <f t="array" ref="P224">_xlfn.IFS(E224&lt;=2,"&lt;=2",E224&gt;2,"&gt;2")</f>
        <v>&gt;2</v>
      </c>
    </row>
    <row r="225" spans="1:16">
      <c r="A225" s="2">
        <v>18711</v>
      </c>
      <c r="B225" s="2" t="s">
        <v>28</v>
      </c>
      <c r="C225" s="2" t="s">
        <v>17</v>
      </c>
      <c r="D225" s="6">
        <v>70000</v>
      </c>
      <c r="E225" s="2">
        <v>5</v>
      </c>
      <c r="F225" s="2" t="s">
        <v>18</v>
      </c>
      <c r="G225" s="2" t="s">
        <v>25</v>
      </c>
      <c r="H225" s="2" t="s">
        <v>20</v>
      </c>
      <c r="I225" s="2">
        <v>4</v>
      </c>
      <c r="J225" s="4" t="s">
        <v>36</v>
      </c>
      <c r="K225" s="2" t="s">
        <v>30</v>
      </c>
      <c r="L225" s="2">
        <v>39</v>
      </c>
      <c r="M225" t="str" cm="1">
        <f t="array" ref="M225">_xlfn.IFS(L225&lt;=35,"YOUNG_ADULTS",L225&lt;=55,"MIDDLE_AGED",L225&gt;55,"OLD-AGED")</f>
        <v>MIDDLE_AGED</v>
      </c>
      <c r="O225" t="str" cm="1">
        <f t="array" ref="O225">_xlfn.IFS(D225&lt;=50000,"low income",D225&lt;=100000,"Mid income",D225&gt;100000,"High income")</f>
        <v>Mid income</v>
      </c>
      <c r="P225" t="str" cm="1">
        <f t="array" ref="P225">_xlfn.IFS(E225&lt;=2,"&lt;=2",E225&gt;2,"&gt;2")</f>
        <v>&gt;2</v>
      </c>
    </row>
    <row r="226" spans="1:16">
      <c r="A226" s="2">
        <v>19650</v>
      </c>
      <c r="B226" s="2" t="s">
        <v>16</v>
      </c>
      <c r="C226" s="2" t="s">
        <v>17</v>
      </c>
      <c r="D226" s="6">
        <v>30000</v>
      </c>
      <c r="E226" s="2">
        <v>2</v>
      </c>
      <c r="F226" s="2" t="s">
        <v>23</v>
      </c>
      <c r="G226" s="2" t="s">
        <v>24</v>
      </c>
      <c r="H226" s="2" t="s">
        <v>26</v>
      </c>
      <c r="I226" s="2">
        <v>2</v>
      </c>
      <c r="J226" s="4" t="s">
        <v>21</v>
      </c>
      <c r="K226" s="2" t="s">
        <v>30</v>
      </c>
      <c r="L226" s="2">
        <v>67</v>
      </c>
      <c r="M226" t="str" cm="1">
        <f t="array" ref="M226">_xlfn.IFS(L226&lt;=35,"YOUNG_ADULTS",L226&lt;=55,"MIDDLE_AGED",L226&gt;55,"OLD-AGED")</f>
        <v>OLD-AGED</v>
      </c>
      <c r="O226" t="str" cm="1">
        <f t="array" ref="O226">_xlfn.IFS(D226&lt;=50000,"low income",D226&lt;=100000,"Mid income",D226&gt;100000,"High income")</f>
        <v>low income</v>
      </c>
      <c r="P226" t="str" cm="1">
        <f t="array" ref="P226">_xlfn.IFS(E226&lt;=2,"&lt;=2",E226&gt;2,"&gt;2")</f>
        <v>&lt;=2</v>
      </c>
    </row>
    <row r="227" spans="1:16">
      <c r="A227" s="2">
        <v>14135</v>
      </c>
      <c r="B227" s="2" t="s">
        <v>16</v>
      </c>
      <c r="C227" s="2" t="s">
        <v>16</v>
      </c>
      <c r="D227" s="6">
        <v>20000</v>
      </c>
      <c r="E227" s="2">
        <v>1</v>
      </c>
      <c r="F227" s="2" t="s">
        <v>23</v>
      </c>
      <c r="G227" s="2" t="s">
        <v>31</v>
      </c>
      <c r="H227" s="2" t="s">
        <v>20</v>
      </c>
      <c r="I227" s="2">
        <v>0</v>
      </c>
      <c r="J227" s="4" t="s">
        <v>32</v>
      </c>
      <c r="K227" s="2" t="s">
        <v>22</v>
      </c>
      <c r="L227" s="2">
        <v>35</v>
      </c>
      <c r="M227" t="str" cm="1">
        <f t="array" ref="M227">_xlfn.IFS(L227&lt;=35,"YOUNG_ADULTS",L227&lt;=55,"MIDDLE_AGED",L227&gt;55,"OLD-AGED")</f>
        <v>YOUNG_ADULTS</v>
      </c>
      <c r="O227" t="str" cm="1">
        <f t="array" ref="O227">_xlfn.IFS(D227&lt;=50000,"low income",D227&lt;=100000,"Mid income",D227&gt;100000,"High income")</f>
        <v>low income</v>
      </c>
      <c r="P227" t="str" cm="1">
        <f t="array" ref="P227">_xlfn.IFS(E227&lt;=2,"&lt;=2",E227&gt;2,"&gt;2")</f>
        <v>&lt;=2</v>
      </c>
    </row>
    <row r="228" spans="1:16">
      <c r="A228" s="2">
        <v>12833</v>
      </c>
      <c r="B228" s="2" t="s">
        <v>28</v>
      </c>
      <c r="C228" s="2" t="s">
        <v>17</v>
      </c>
      <c r="D228" s="6">
        <v>20000</v>
      </c>
      <c r="E228" s="2">
        <v>3</v>
      </c>
      <c r="F228" s="2" t="s">
        <v>33</v>
      </c>
      <c r="G228" s="2" t="s">
        <v>31</v>
      </c>
      <c r="H228" s="2" t="s">
        <v>20</v>
      </c>
      <c r="I228" s="2">
        <v>1</v>
      </c>
      <c r="J228" s="4" t="s">
        <v>21</v>
      </c>
      <c r="K228" s="2" t="s">
        <v>22</v>
      </c>
      <c r="L228" s="2">
        <v>42</v>
      </c>
      <c r="M228" t="str" cm="1">
        <f t="array" ref="M228">_xlfn.IFS(L228&lt;=35,"YOUNG_ADULTS",L228&lt;=55,"MIDDLE_AGED",L228&gt;55,"OLD-AGED")</f>
        <v>MIDDLE_AGED</v>
      </c>
      <c r="N228" s="2" t="s">
        <v>20</v>
      </c>
      <c r="O228" t="str" cm="1">
        <f t="array" ref="O228">_xlfn.IFS(D228&lt;=50000,"low income",D228&lt;=100000,"Mid income",D228&gt;100000,"High income")</f>
        <v>low income</v>
      </c>
      <c r="P228" t="str" cm="1">
        <f t="array" ref="P228">_xlfn.IFS(E228&lt;=2,"&lt;=2",E228&gt;2,"&gt;2")</f>
        <v>&gt;2</v>
      </c>
    </row>
    <row r="229" spans="1:16">
      <c r="A229" s="2">
        <v>26849</v>
      </c>
      <c r="B229" s="2" t="s">
        <v>16</v>
      </c>
      <c r="C229" s="2" t="s">
        <v>16</v>
      </c>
      <c r="D229" s="6">
        <v>10000</v>
      </c>
      <c r="E229" s="2">
        <v>3</v>
      </c>
      <c r="F229" s="2" t="s">
        <v>35</v>
      </c>
      <c r="G229" s="2" t="s">
        <v>31</v>
      </c>
      <c r="H229" s="2" t="s">
        <v>20</v>
      </c>
      <c r="I229" s="2">
        <v>2</v>
      </c>
      <c r="J229" s="4" t="s">
        <v>21</v>
      </c>
      <c r="K229" s="2" t="s">
        <v>22</v>
      </c>
      <c r="L229" s="2">
        <v>43</v>
      </c>
      <c r="M229" t="str" cm="1">
        <f t="array" ref="M229">_xlfn.IFS(L229&lt;=35,"YOUNG_ADULTS",L229&lt;=55,"MIDDLE_AGED",L229&gt;55,"OLD-AGED")</f>
        <v>MIDDLE_AGED</v>
      </c>
      <c r="O229" t="str" cm="1">
        <f t="array" ref="O229">_xlfn.IFS(D229&lt;=50000,"low income",D229&lt;=100000,"Mid income",D229&gt;100000,"High income")</f>
        <v>low income</v>
      </c>
      <c r="P229" t="str" cm="1">
        <f t="array" ref="P229">_xlfn.IFS(E229&lt;=2,"&lt;=2",E229&gt;2,"&gt;2")</f>
        <v>&gt;2</v>
      </c>
    </row>
    <row r="230" spans="1:16">
      <c r="A230" s="2">
        <v>20962</v>
      </c>
      <c r="B230" s="2" t="s">
        <v>16</v>
      </c>
      <c r="C230" s="2" t="s">
        <v>17</v>
      </c>
      <c r="D230" s="6">
        <v>20000</v>
      </c>
      <c r="E230" s="2">
        <v>1</v>
      </c>
      <c r="F230" s="2" t="s">
        <v>37</v>
      </c>
      <c r="G230" s="2" t="s">
        <v>24</v>
      </c>
      <c r="H230" s="2" t="s">
        <v>20</v>
      </c>
      <c r="I230" s="2">
        <v>0</v>
      </c>
      <c r="J230" s="4" t="s">
        <v>21</v>
      </c>
      <c r="K230" s="2" t="s">
        <v>22</v>
      </c>
      <c r="L230" s="2">
        <v>45</v>
      </c>
      <c r="M230" t="str" cm="1">
        <f t="array" ref="M230">_xlfn.IFS(L230&lt;=35,"YOUNG_ADULTS",L230&lt;=55,"MIDDLE_AGED",L230&gt;55,"OLD-AGED")</f>
        <v>MIDDLE_AGED</v>
      </c>
      <c r="O230" t="str" cm="1">
        <f t="array" ref="O230">_xlfn.IFS(D230&lt;=50000,"low income",D230&lt;=100000,"Mid income",D230&gt;100000,"High income")</f>
        <v>low income</v>
      </c>
      <c r="P230" t="str" cm="1">
        <f t="array" ref="P230">_xlfn.IFS(E230&lt;=2,"&lt;=2",E230&gt;2,"&gt;2")</f>
        <v>&lt;=2</v>
      </c>
    </row>
    <row r="231" spans="1:16">
      <c r="A231" s="2">
        <v>28915</v>
      </c>
      <c r="B231" s="2" t="s">
        <v>28</v>
      </c>
      <c r="C231" s="2" t="s">
        <v>16</v>
      </c>
      <c r="D231" s="6">
        <v>80000</v>
      </c>
      <c r="E231" s="2">
        <v>5</v>
      </c>
      <c r="F231" s="2" t="s">
        <v>33</v>
      </c>
      <c r="G231" s="2" t="s">
        <v>34</v>
      </c>
      <c r="H231" s="2" t="s">
        <v>20</v>
      </c>
      <c r="I231" s="2">
        <v>3</v>
      </c>
      <c r="J231" s="4" t="s">
        <v>36</v>
      </c>
      <c r="K231" s="2" t="s">
        <v>22</v>
      </c>
      <c r="L231" s="2">
        <v>57</v>
      </c>
      <c r="M231" t="str" cm="1">
        <f t="array" ref="M231">_xlfn.IFS(L231&lt;=35,"YOUNG_ADULTS",L231&lt;=55,"MIDDLE_AGED",L231&gt;55,"OLD-AGED")</f>
        <v>OLD-AGED</v>
      </c>
      <c r="O231" t="str" cm="1">
        <f t="array" ref="O231">_xlfn.IFS(D231&lt;=50000,"low income",D231&lt;=100000,"Mid income",D231&gt;100000,"High income")</f>
        <v>Mid income</v>
      </c>
      <c r="P231" t="str" cm="1">
        <f t="array" ref="P231">_xlfn.IFS(E231&lt;=2,"&lt;=2",E231&gt;2,"&gt;2")</f>
        <v>&gt;2</v>
      </c>
    </row>
    <row r="232" spans="1:16">
      <c r="A232" s="2">
        <v>22830</v>
      </c>
      <c r="B232" s="2" t="s">
        <v>16</v>
      </c>
      <c r="C232" s="2" t="s">
        <v>16</v>
      </c>
      <c r="D232" s="6">
        <v>120000</v>
      </c>
      <c r="E232" s="2">
        <v>4</v>
      </c>
      <c r="F232" s="2" t="s">
        <v>23</v>
      </c>
      <c r="G232" s="2" t="s">
        <v>34</v>
      </c>
      <c r="H232" s="2" t="s">
        <v>20</v>
      </c>
      <c r="I232" s="2">
        <v>3</v>
      </c>
      <c r="J232" s="4" t="s">
        <v>36</v>
      </c>
      <c r="K232" s="2" t="s">
        <v>22</v>
      </c>
      <c r="L232" s="2">
        <v>56</v>
      </c>
      <c r="M232" t="str" cm="1">
        <f t="array" ref="M232">_xlfn.IFS(L232&lt;=35,"YOUNG_ADULTS",L232&lt;=55,"MIDDLE_AGED",L232&gt;55,"OLD-AGED")</f>
        <v>OLD-AGED</v>
      </c>
      <c r="O232" t="str" cm="1">
        <f t="array" ref="O232">_xlfn.IFS(D232&lt;=50000,"low income",D232&lt;=100000,"Mid income",D232&gt;100000,"High income")</f>
        <v>High income</v>
      </c>
      <c r="P232" t="str" cm="1">
        <f t="array" ref="P232">_xlfn.IFS(E232&lt;=2,"&lt;=2",E232&gt;2,"&gt;2")</f>
        <v>&gt;2</v>
      </c>
    </row>
    <row r="233" spans="1:16">
      <c r="A233" s="2">
        <v>14777</v>
      </c>
      <c r="B233" s="2" t="s">
        <v>16</v>
      </c>
      <c r="C233" s="2" t="s">
        <v>17</v>
      </c>
      <c r="D233" s="6">
        <v>40000</v>
      </c>
      <c r="E233" s="2">
        <v>0</v>
      </c>
      <c r="F233" s="2" t="s">
        <v>18</v>
      </c>
      <c r="G233" s="2" t="s">
        <v>24</v>
      </c>
      <c r="H233" s="2" t="s">
        <v>20</v>
      </c>
      <c r="I233" s="2">
        <v>0</v>
      </c>
      <c r="J233" s="4" t="s">
        <v>21</v>
      </c>
      <c r="K233" s="2" t="s">
        <v>22</v>
      </c>
      <c r="L233" s="2">
        <v>38</v>
      </c>
      <c r="M233" t="str" cm="1">
        <f t="array" ref="M233">_xlfn.IFS(L233&lt;=35,"YOUNG_ADULTS",L233&lt;=55,"MIDDLE_AGED",L233&gt;55,"OLD-AGED")</f>
        <v>MIDDLE_AGED</v>
      </c>
      <c r="N233" s="2" t="s">
        <v>20</v>
      </c>
      <c r="O233" t="str" cm="1">
        <f t="array" ref="O233">_xlfn.IFS(D233&lt;=50000,"low income",D233&lt;=100000,"Mid income",D233&gt;100000,"High income")</f>
        <v>low income</v>
      </c>
      <c r="P233" t="str" cm="1">
        <f t="array" ref="P233">_xlfn.IFS(E233&lt;=2,"&lt;=2",E233&gt;2,"&gt;2")</f>
        <v>&lt;=2</v>
      </c>
    </row>
    <row r="234" spans="1:16">
      <c r="A234" s="2">
        <v>12591</v>
      </c>
      <c r="B234" s="2" t="s">
        <v>16</v>
      </c>
      <c r="C234" s="2" t="s">
        <v>17</v>
      </c>
      <c r="D234" s="6">
        <v>30000</v>
      </c>
      <c r="E234" s="2">
        <v>4</v>
      </c>
      <c r="F234" s="2" t="s">
        <v>37</v>
      </c>
      <c r="G234" s="2" t="s">
        <v>24</v>
      </c>
      <c r="H234" s="2" t="s">
        <v>20</v>
      </c>
      <c r="I234" s="2">
        <v>0</v>
      </c>
      <c r="J234" s="4" t="s">
        <v>21</v>
      </c>
      <c r="K234" s="2" t="s">
        <v>22</v>
      </c>
      <c r="L234" s="2">
        <v>45</v>
      </c>
      <c r="M234" t="str" cm="1">
        <f t="array" ref="M234">_xlfn.IFS(L234&lt;=35,"YOUNG_ADULTS",L234&lt;=55,"MIDDLE_AGED",L234&gt;55,"OLD-AGED")</f>
        <v>MIDDLE_AGED</v>
      </c>
      <c r="O234" t="str" cm="1">
        <f t="array" ref="O234">_xlfn.IFS(D234&lt;=50000,"low income",D234&lt;=100000,"Mid income",D234&gt;100000,"High income")</f>
        <v>low income</v>
      </c>
      <c r="P234" t="str" cm="1">
        <f t="array" ref="P234">_xlfn.IFS(E234&lt;=2,"&lt;=2",E234&gt;2,"&gt;2")</f>
        <v>&gt;2</v>
      </c>
    </row>
    <row r="235" spans="1:16">
      <c r="A235" s="2">
        <v>24174</v>
      </c>
      <c r="B235" s="2" t="s">
        <v>16</v>
      </c>
      <c r="C235" s="2" t="s">
        <v>16</v>
      </c>
      <c r="D235" s="6">
        <v>20000</v>
      </c>
      <c r="E235" s="2">
        <v>0</v>
      </c>
      <c r="F235" s="2" t="s">
        <v>18</v>
      </c>
      <c r="G235" s="2" t="s">
        <v>24</v>
      </c>
      <c r="H235" s="2" t="s">
        <v>20</v>
      </c>
      <c r="I235" s="2">
        <v>0</v>
      </c>
      <c r="J235" s="4" t="s">
        <v>21</v>
      </c>
      <c r="K235" s="2" t="s">
        <v>30</v>
      </c>
      <c r="L235" s="2">
        <v>27</v>
      </c>
      <c r="M235" t="str" cm="1">
        <f t="array" ref="M235">_xlfn.IFS(L235&lt;=35,"YOUNG_ADULTS",L235&lt;=55,"MIDDLE_AGED",L235&gt;55,"OLD-AGED")</f>
        <v>YOUNG_ADULTS</v>
      </c>
      <c r="N235" s="2" t="s">
        <v>20</v>
      </c>
      <c r="O235" t="str" cm="1">
        <f t="array" ref="O235">_xlfn.IFS(D235&lt;=50000,"low income",D235&lt;=100000,"Mid income",D235&gt;100000,"High income")</f>
        <v>low income</v>
      </c>
      <c r="P235" t="str" cm="1">
        <f t="array" ref="P235">_xlfn.IFS(E235&lt;=2,"&lt;=2",E235&gt;2,"&gt;2")</f>
        <v>&lt;=2</v>
      </c>
    </row>
    <row r="236" spans="1:16">
      <c r="A236" s="2">
        <v>24611</v>
      </c>
      <c r="B236" s="2" t="s">
        <v>28</v>
      </c>
      <c r="C236" s="2" t="s">
        <v>16</v>
      </c>
      <c r="D236" s="6">
        <v>90000</v>
      </c>
      <c r="E236" s="2">
        <v>0</v>
      </c>
      <c r="F236" s="2" t="s">
        <v>18</v>
      </c>
      <c r="G236" s="2" t="s">
        <v>25</v>
      </c>
      <c r="H236" s="2" t="s">
        <v>26</v>
      </c>
      <c r="I236" s="2">
        <v>4</v>
      </c>
      <c r="J236" s="4" t="s">
        <v>36</v>
      </c>
      <c r="K236" s="2" t="s">
        <v>30</v>
      </c>
      <c r="L236" s="2">
        <v>35</v>
      </c>
      <c r="M236" t="str" cm="1">
        <f t="array" ref="M236">_xlfn.IFS(L236&lt;=35,"YOUNG_ADULTS",L236&lt;=55,"MIDDLE_AGED",L236&gt;55,"OLD-AGED")</f>
        <v>YOUNG_ADULTS</v>
      </c>
      <c r="N236" s="2" t="s">
        <v>20</v>
      </c>
      <c r="O236" t="str" cm="1">
        <f t="array" ref="O236">_xlfn.IFS(D236&lt;=50000,"low income",D236&lt;=100000,"Mid income",D236&gt;100000,"High income")</f>
        <v>Mid income</v>
      </c>
      <c r="P236" t="str" cm="1">
        <f t="array" ref="P236">_xlfn.IFS(E236&lt;=2,"&lt;=2",E236&gt;2,"&gt;2")</f>
        <v>&lt;=2</v>
      </c>
    </row>
    <row r="237" spans="1:16">
      <c r="A237" s="2">
        <v>11340</v>
      </c>
      <c r="B237" s="2" t="s">
        <v>16</v>
      </c>
      <c r="C237" s="2" t="s">
        <v>17</v>
      </c>
      <c r="D237" s="6">
        <v>10000</v>
      </c>
      <c r="E237" s="2">
        <v>1</v>
      </c>
      <c r="F237" s="2" t="s">
        <v>37</v>
      </c>
      <c r="G237" s="2" t="s">
        <v>24</v>
      </c>
      <c r="H237" s="2" t="s">
        <v>20</v>
      </c>
      <c r="I237" s="2">
        <v>0</v>
      </c>
      <c r="J237" s="4" t="s">
        <v>21</v>
      </c>
      <c r="K237" s="2" t="s">
        <v>22</v>
      </c>
      <c r="L237" s="2">
        <v>70</v>
      </c>
      <c r="M237" t="str" cm="1">
        <f t="array" ref="M237">_xlfn.IFS(L237&lt;=35,"YOUNG_ADULTS",L237&lt;=55,"MIDDLE_AGED",L237&gt;55,"OLD-AGED")</f>
        <v>OLD-AGED</v>
      </c>
      <c r="N237" s="2" t="s">
        <v>20</v>
      </c>
      <c r="O237" t="str" cm="1">
        <f t="array" ref="O237">_xlfn.IFS(D237&lt;=50000,"low income",D237&lt;=100000,"Mid income",D237&gt;100000,"High income")</f>
        <v>low income</v>
      </c>
      <c r="P237" t="str" cm="1">
        <f t="array" ref="P237">_xlfn.IFS(E237&lt;=2,"&lt;=2",E237&gt;2,"&gt;2")</f>
        <v>&lt;=2</v>
      </c>
    </row>
    <row r="238" spans="1:16">
      <c r="A238" s="2">
        <v>25693</v>
      </c>
      <c r="B238" s="2" t="s">
        <v>28</v>
      </c>
      <c r="C238" s="2" t="s">
        <v>17</v>
      </c>
      <c r="D238" s="6">
        <v>30000</v>
      </c>
      <c r="E238" s="2">
        <v>5</v>
      </c>
      <c r="F238" s="2" t="s">
        <v>37</v>
      </c>
      <c r="G238" s="2" t="s">
        <v>24</v>
      </c>
      <c r="H238" s="2" t="s">
        <v>20</v>
      </c>
      <c r="I238" s="2">
        <v>0</v>
      </c>
      <c r="J238" s="4" t="s">
        <v>21</v>
      </c>
      <c r="K238" s="2" t="s">
        <v>22</v>
      </c>
      <c r="L238" s="2">
        <v>44</v>
      </c>
      <c r="M238" t="str" cm="1">
        <f t="array" ref="M238">_xlfn.IFS(L238&lt;=35,"YOUNG_ADULTS",L238&lt;=55,"MIDDLE_AGED",L238&gt;55,"OLD-AGED")</f>
        <v>MIDDLE_AGED</v>
      </c>
      <c r="N238" s="2" t="s">
        <v>20</v>
      </c>
      <c r="O238" t="str" cm="1">
        <f t="array" ref="O238">_xlfn.IFS(D238&lt;=50000,"low income",D238&lt;=100000,"Mid income",D238&gt;100000,"High income")</f>
        <v>low income</v>
      </c>
      <c r="P238" t="str" cm="1">
        <f t="array" ref="P238">_xlfn.IFS(E238&lt;=2,"&lt;=2",E238&gt;2,"&gt;2")</f>
        <v>&gt;2</v>
      </c>
    </row>
    <row r="239" spans="1:16">
      <c r="A239" s="2">
        <v>25555</v>
      </c>
      <c r="B239" s="2" t="s">
        <v>16</v>
      </c>
      <c r="C239" s="2" t="s">
        <v>17</v>
      </c>
      <c r="D239" s="6">
        <v>10000</v>
      </c>
      <c r="E239" s="2">
        <v>0</v>
      </c>
      <c r="F239" s="2" t="s">
        <v>23</v>
      </c>
      <c r="G239" s="2" t="s">
        <v>31</v>
      </c>
      <c r="H239" s="2" t="s">
        <v>26</v>
      </c>
      <c r="I239" s="2">
        <v>1</v>
      </c>
      <c r="J239" s="4" t="s">
        <v>21</v>
      </c>
      <c r="K239" s="2" t="s">
        <v>30</v>
      </c>
      <c r="L239" s="2">
        <v>26</v>
      </c>
      <c r="M239" t="str" cm="1">
        <f t="array" ref="M239">_xlfn.IFS(L239&lt;=35,"YOUNG_ADULTS",L239&lt;=55,"MIDDLE_AGED",L239&gt;55,"OLD-AGED")</f>
        <v>YOUNG_ADULTS</v>
      </c>
      <c r="N239" s="2" t="s">
        <v>20</v>
      </c>
      <c r="O239" t="str" cm="1">
        <f t="array" ref="O239">_xlfn.IFS(D239&lt;=50000,"low income",D239&lt;=100000,"Mid income",D239&gt;100000,"High income")</f>
        <v>low income</v>
      </c>
      <c r="P239" t="str" cm="1">
        <f t="array" ref="P239">_xlfn.IFS(E239&lt;=2,"&lt;=2",E239&gt;2,"&gt;2")</f>
        <v>&lt;=2</v>
      </c>
    </row>
    <row r="240" spans="1:16">
      <c r="A240" s="2">
        <v>22006</v>
      </c>
      <c r="B240" s="2" t="s">
        <v>16</v>
      </c>
      <c r="C240" s="2" t="s">
        <v>16</v>
      </c>
      <c r="D240" s="6">
        <v>70000</v>
      </c>
      <c r="E240" s="2">
        <v>5</v>
      </c>
      <c r="F240" s="2" t="s">
        <v>23</v>
      </c>
      <c r="G240" s="2" t="s">
        <v>19</v>
      </c>
      <c r="H240" s="2" t="s">
        <v>20</v>
      </c>
      <c r="I240" s="2">
        <v>3</v>
      </c>
      <c r="J240" s="4" t="s">
        <v>29</v>
      </c>
      <c r="K240" s="2" t="s">
        <v>30</v>
      </c>
      <c r="L240" s="2">
        <v>46</v>
      </c>
      <c r="M240" t="str" cm="1">
        <f t="array" ref="M240">_xlfn.IFS(L240&lt;=35,"YOUNG_ADULTS",L240&lt;=55,"MIDDLE_AGED",L240&gt;55,"OLD-AGED")</f>
        <v>MIDDLE_AGED</v>
      </c>
      <c r="O240" t="str" cm="1">
        <f t="array" ref="O240">_xlfn.IFS(D240&lt;=50000,"low income",D240&lt;=100000,"Mid income",D240&gt;100000,"High income")</f>
        <v>Mid income</v>
      </c>
      <c r="P240" t="str" cm="1">
        <f t="array" ref="P240">_xlfn.IFS(E240&lt;=2,"&lt;=2",E240&gt;2,"&gt;2")</f>
        <v>&gt;2</v>
      </c>
    </row>
    <row r="241" spans="1:16">
      <c r="A241" s="2">
        <v>20060</v>
      </c>
      <c r="B241" s="2" t="s">
        <v>28</v>
      </c>
      <c r="C241" s="2" t="s">
        <v>17</v>
      </c>
      <c r="D241" s="6">
        <v>30000</v>
      </c>
      <c r="E241" s="2">
        <v>0</v>
      </c>
      <c r="F241" s="2" t="s">
        <v>33</v>
      </c>
      <c r="G241" s="2" t="s">
        <v>31</v>
      </c>
      <c r="H241" s="2" t="s">
        <v>26</v>
      </c>
      <c r="I241" s="2">
        <v>1</v>
      </c>
      <c r="J241" s="4" t="s">
        <v>27</v>
      </c>
      <c r="K241" s="2" t="s">
        <v>22</v>
      </c>
      <c r="L241" s="2">
        <v>34</v>
      </c>
      <c r="M241" t="str" cm="1">
        <f t="array" ref="M241">_xlfn.IFS(L241&lt;=35,"YOUNG_ADULTS",L241&lt;=55,"MIDDLE_AGED",L241&gt;55,"OLD-AGED")</f>
        <v>YOUNG_ADULTS</v>
      </c>
      <c r="N241" s="2" t="s">
        <v>20</v>
      </c>
      <c r="O241" t="str" cm="1">
        <f t="array" ref="O241">_xlfn.IFS(D241&lt;=50000,"low income",D241&lt;=100000,"Mid income",D241&gt;100000,"High income")</f>
        <v>low income</v>
      </c>
      <c r="P241" t="str" cm="1">
        <f t="array" ref="P241">_xlfn.IFS(E241&lt;=2,"&lt;=2",E241&gt;2,"&gt;2")</f>
        <v>&lt;=2</v>
      </c>
    </row>
    <row r="242" spans="1:16">
      <c r="A242" s="2">
        <v>17702</v>
      </c>
      <c r="B242" s="2" t="s">
        <v>16</v>
      </c>
      <c r="C242" s="2" t="s">
        <v>16</v>
      </c>
      <c r="D242" s="6">
        <v>10000</v>
      </c>
      <c r="E242" s="2">
        <v>1</v>
      </c>
      <c r="F242" s="2" t="s">
        <v>37</v>
      </c>
      <c r="G242" s="2" t="s">
        <v>31</v>
      </c>
      <c r="H242" s="2" t="s">
        <v>20</v>
      </c>
      <c r="I242" s="2">
        <v>0</v>
      </c>
      <c r="J242" s="4" t="s">
        <v>21</v>
      </c>
      <c r="K242" s="2" t="s">
        <v>22</v>
      </c>
      <c r="L242" s="2">
        <v>37</v>
      </c>
      <c r="M242" t="str" cm="1">
        <f t="array" ref="M242">_xlfn.IFS(L242&lt;=35,"YOUNG_ADULTS",L242&lt;=55,"MIDDLE_AGED",L242&gt;55,"OLD-AGED")</f>
        <v>MIDDLE_AGED</v>
      </c>
      <c r="O242" t="str" cm="1">
        <f t="array" ref="O242">_xlfn.IFS(D242&lt;=50000,"low income",D242&lt;=100000,"Mid income",D242&gt;100000,"High income")</f>
        <v>low income</v>
      </c>
      <c r="P242" t="str" cm="1">
        <f t="array" ref="P242">_xlfn.IFS(E242&lt;=2,"&lt;=2",E242&gt;2,"&gt;2")</f>
        <v>&lt;=2</v>
      </c>
    </row>
    <row r="243" spans="1:16">
      <c r="A243" s="2">
        <v>12503</v>
      </c>
      <c r="B243" s="2" t="s">
        <v>28</v>
      </c>
      <c r="C243" s="2" t="s">
        <v>17</v>
      </c>
      <c r="D243" s="6">
        <v>30000</v>
      </c>
      <c r="E243" s="2">
        <v>3</v>
      </c>
      <c r="F243" s="2" t="s">
        <v>23</v>
      </c>
      <c r="G243" s="2" t="s">
        <v>24</v>
      </c>
      <c r="H243" s="2" t="s">
        <v>20</v>
      </c>
      <c r="I243" s="2">
        <v>2</v>
      </c>
      <c r="J243" s="4" t="s">
        <v>21</v>
      </c>
      <c r="K243" s="2" t="s">
        <v>22</v>
      </c>
      <c r="L243" s="2">
        <v>27</v>
      </c>
      <c r="M243" t="str" cm="1">
        <f t="array" ref="M243">_xlfn.IFS(L243&lt;=35,"YOUNG_ADULTS",L243&lt;=55,"MIDDLE_AGED",L243&gt;55,"OLD-AGED")</f>
        <v>YOUNG_ADULTS</v>
      </c>
      <c r="O243" t="str" cm="1">
        <f t="array" ref="O243">_xlfn.IFS(D243&lt;=50000,"low income",D243&lt;=100000,"Mid income",D243&gt;100000,"High income")</f>
        <v>low income</v>
      </c>
      <c r="P243" t="str" cm="1">
        <f t="array" ref="P243">_xlfn.IFS(E243&lt;=2,"&lt;=2",E243&gt;2,"&gt;2")</f>
        <v>&gt;2</v>
      </c>
    </row>
    <row r="244" spans="1:16">
      <c r="A244" s="2">
        <v>23908</v>
      </c>
      <c r="B244" s="2" t="s">
        <v>28</v>
      </c>
      <c r="C244" s="2" t="s">
        <v>16</v>
      </c>
      <c r="D244" s="6">
        <v>30000</v>
      </c>
      <c r="E244" s="2">
        <v>1</v>
      </c>
      <c r="F244" s="2" t="s">
        <v>18</v>
      </c>
      <c r="G244" s="2" t="s">
        <v>24</v>
      </c>
      <c r="H244" s="2" t="s">
        <v>26</v>
      </c>
      <c r="I244" s="2">
        <v>1</v>
      </c>
      <c r="J244" s="4" t="s">
        <v>21</v>
      </c>
      <c r="K244" s="2" t="s">
        <v>22</v>
      </c>
      <c r="L244" s="2">
        <v>39</v>
      </c>
      <c r="M244" t="str" cm="1">
        <f t="array" ref="M244">_xlfn.IFS(L244&lt;=35,"YOUNG_ADULTS",L244&lt;=55,"MIDDLE_AGED",L244&gt;55,"OLD-AGED")</f>
        <v>MIDDLE_AGED</v>
      </c>
      <c r="N244" s="2" t="s">
        <v>20</v>
      </c>
      <c r="O244" t="str" cm="1">
        <f t="array" ref="O244">_xlfn.IFS(D244&lt;=50000,"low income",D244&lt;=100000,"Mid income",D244&gt;100000,"High income")</f>
        <v>low income</v>
      </c>
      <c r="P244" t="str" cm="1">
        <f t="array" ref="P244">_xlfn.IFS(E244&lt;=2,"&lt;=2",E244&gt;2,"&gt;2")</f>
        <v>&lt;=2</v>
      </c>
    </row>
    <row r="245" spans="1:16">
      <c r="A245" s="2">
        <v>22527</v>
      </c>
      <c r="B245" s="2" t="s">
        <v>28</v>
      </c>
      <c r="C245" s="2" t="s">
        <v>17</v>
      </c>
      <c r="D245" s="6">
        <v>20000</v>
      </c>
      <c r="E245" s="2">
        <v>0</v>
      </c>
      <c r="F245" s="2" t="s">
        <v>33</v>
      </c>
      <c r="G245" s="2" t="s">
        <v>31</v>
      </c>
      <c r="H245" s="2" t="s">
        <v>26</v>
      </c>
      <c r="I245" s="2">
        <v>1</v>
      </c>
      <c r="J245" s="4" t="s">
        <v>27</v>
      </c>
      <c r="K245" s="2" t="s">
        <v>22</v>
      </c>
      <c r="L245" s="2">
        <v>29</v>
      </c>
      <c r="M245" t="str" cm="1">
        <f t="array" ref="M245">_xlfn.IFS(L245&lt;=35,"YOUNG_ADULTS",L245&lt;=55,"MIDDLE_AGED",L245&gt;55,"OLD-AGED")</f>
        <v>YOUNG_ADULTS</v>
      </c>
      <c r="O245" t="str" cm="1">
        <f t="array" ref="O245">_xlfn.IFS(D245&lt;=50000,"low income",D245&lt;=100000,"Mid income",D245&gt;100000,"High income")</f>
        <v>low income</v>
      </c>
      <c r="P245" t="str" cm="1">
        <f t="array" ref="P245">_xlfn.IFS(E245&lt;=2,"&lt;=2",E245&gt;2,"&gt;2")</f>
        <v>&lt;=2</v>
      </c>
    </row>
    <row r="246" spans="1:16">
      <c r="A246" s="2">
        <v>19057</v>
      </c>
      <c r="B246" s="2" t="s">
        <v>16</v>
      </c>
      <c r="C246" s="2" t="s">
        <v>17</v>
      </c>
      <c r="D246" s="6">
        <v>120000</v>
      </c>
      <c r="E246" s="2">
        <v>3</v>
      </c>
      <c r="F246" s="2" t="s">
        <v>18</v>
      </c>
      <c r="G246" s="2" t="s">
        <v>34</v>
      </c>
      <c r="H246" s="2" t="s">
        <v>26</v>
      </c>
      <c r="I246" s="2">
        <v>2</v>
      </c>
      <c r="J246" s="4" t="s">
        <v>36</v>
      </c>
      <c r="K246" s="2" t="s">
        <v>22</v>
      </c>
      <c r="L246" s="2">
        <v>52</v>
      </c>
      <c r="M246" t="str" cm="1">
        <f t="array" ref="M246">_xlfn.IFS(L246&lt;=35,"YOUNG_ADULTS",L246&lt;=55,"MIDDLE_AGED",L246&gt;55,"OLD-AGED")</f>
        <v>MIDDLE_AGED</v>
      </c>
      <c r="N246" s="2" t="s">
        <v>20</v>
      </c>
      <c r="O246" t="str" cm="1">
        <f t="array" ref="O246">_xlfn.IFS(D246&lt;=50000,"low income",D246&lt;=100000,"Mid income",D246&gt;100000,"High income")</f>
        <v>High income</v>
      </c>
      <c r="P246" t="str" cm="1">
        <f t="array" ref="P246">_xlfn.IFS(E246&lt;=2,"&lt;=2",E246&gt;2,"&gt;2")</f>
        <v>&gt;2</v>
      </c>
    </row>
    <row r="247" spans="1:16">
      <c r="A247" s="2">
        <v>18494</v>
      </c>
      <c r="B247" s="2" t="s">
        <v>16</v>
      </c>
      <c r="C247" s="2" t="s">
        <v>16</v>
      </c>
      <c r="D247" s="6">
        <v>110000</v>
      </c>
      <c r="E247" s="2">
        <v>5</v>
      </c>
      <c r="F247" s="2" t="s">
        <v>18</v>
      </c>
      <c r="G247" s="2" t="s">
        <v>34</v>
      </c>
      <c r="H247" s="2" t="s">
        <v>20</v>
      </c>
      <c r="I247" s="2">
        <v>4</v>
      </c>
      <c r="J247" s="4" t="s">
        <v>27</v>
      </c>
      <c r="K247" s="2" t="s">
        <v>30</v>
      </c>
      <c r="L247" s="2">
        <v>48</v>
      </c>
      <c r="M247" t="str" cm="1">
        <f t="array" ref="M247">_xlfn.IFS(L247&lt;=35,"YOUNG_ADULTS",L247&lt;=55,"MIDDLE_AGED",L247&gt;55,"OLD-AGED")</f>
        <v>MIDDLE_AGED</v>
      </c>
      <c r="N247" s="2" t="s">
        <v>20</v>
      </c>
      <c r="O247" t="str" cm="1">
        <f t="array" ref="O247">_xlfn.IFS(D247&lt;=50000,"low income",D247&lt;=100000,"Mid income",D247&gt;100000,"High income")</f>
        <v>High income</v>
      </c>
      <c r="P247" t="str" cm="1">
        <f t="array" ref="P247">_xlfn.IFS(E247&lt;=2,"&lt;=2",E247&gt;2,"&gt;2")</f>
        <v>&gt;2</v>
      </c>
    </row>
    <row r="248" spans="1:16">
      <c r="A248" s="2">
        <v>11249</v>
      </c>
      <c r="B248" s="2" t="s">
        <v>16</v>
      </c>
      <c r="C248" s="2" t="s">
        <v>17</v>
      </c>
      <c r="D248" s="6">
        <v>130000</v>
      </c>
      <c r="E248" s="2">
        <v>3</v>
      </c>
      <c r="F248" s="2" t="s">
        <v>23</v>
      </c>
      <c r="G248" s="2" t="s">
        <v>25</v>
      </c>
      <c r="H248" s="2" t="s">
        <v>20</v>
      </c>
      <c r="I248" s="2">
        <v>3</v>
      </c>
      <c r="J248" s="4" t="s">
        <v>21</v>
      </c>
      <c r="K248" s="2" t="s">
        <v>22</v>
      </c>
      <c r="L248" s="2">
        <v>51</v>
      </c>
      <c r="M248" t="str" cm="1">
        <f t="array" ref="M248">_xlfn.IFS(L248&lt;=35,"YOUNG_ADULTS",L248&lt;=55,"MIDDLE_AGED",L248&gt;55,"OLD-AGED")</f>
        <v>MIDDLE_AGED</v>
      </c>
      <c r="N248" s="2" t="s">
        <v>20</v>
      </c>
      <c r="O248" t="str" cm="1">
        <f t="array" ref="O248">_xlfn.IFS(D248&lt;=50000,"low income",D248&lt;=100000,"Mid income",D248&gt;100000,"High income")</f>
        <v>High income</v>
      </c>
      <c r="P248" t="str" cm="1">
        <f t="array" ref="P248">_xlfn.IFS(E248&lt;=2,"&lt;=2",E248&gt;2,"&gt;2")</f>
        <v>&gt;2</v>
      </c>
    </row>
    <row r="249" spans="1:16">
      <c r="A249" s="2">
        <v>21568</v>
      </c>
      <c r="B249" s="2" t="s">
        <v>16</v>
      </c>
      <c r="C249" s="2" t="s">
        <v>17</v>
      </c>
      <c r="D249" s="6">
        <v>100000</v>
      </c>
      <c r="E249" s="2">
        <v>0</v>
      </c>
      <c r="F249" s="2" t="s">
        <v>33</v>
      </c>
      <c r="G249" s="2" t="s">
        <v>34</v>
      </c>
      <c r="H249" s="2" t="s">
        <v>20</v>
      </c>
      <c r="I249" s="2">
        <v>4</v>
      </c>
      <c r="J249" s="4" t="s">
        <v>36</v>
      </c>
      <c r="K249" s="2" t="s">
        <v>30</v>
      </c>
      <c r="L249" s="2">
        <v>34</v>
      </c>
      <c r="M249" t="str" cm="1">
        <f t="array" ref="M249">_xlfn.IFS(L249&lt;=35,"YOUNG_ADULTS",L249&lt;=55,"MIDDLE_AGED",L249&gt;55,"OLD-AGED")</f>
        <v>YOUNG_ADULTS</v>
      </c>
      <c r="N249" s="2" t="s">
        <v>20</v>
      </c>
      <c r="O249" t="str" cm="1">
        <f t="array" ref="O249">_xlfn.IFS(D249&lt;=50000,"low income",D249&lt;=100000,"Mid income",D249&gt;100000,"High income")</f>
        <v>Mid income</v>
      </c>
      <c r="P249" t="str" cm="1">
        <f t="array" ref="P249">_xlfn.IFS(E249&lt;=2,"&lt;=2",E249&gt;2,"&gt;2")</f>
        <v>&lt;=2</v>
      </c>
    </row>
    <row r="250" spans="1:16">
      <c r="A250" s="2">
        <v>13981</v>
      </c>
      <c r="B250" s="2" t="s">
        <v>16</v>
      </c>
      <c r="C250" s="2" t="s">
        <v>17</v>
      </c>
      <c r="D250" s="6">
        <v>10000</v>
      </c>
      <c r="E250" s="2">
        <v>5</v>
      </c>
      <c r="F250" s="2" t="s">
        <v>33</v>
      </c>
      <c r="G250" s="2" t="s">
        <v>19</v>
      </c>
      <c r="H250" s="2" t="s">
        <v>26</v>
      </c>
      <c r="I250" s="2">
        <v>3</v>
      </c>
      <c r="J250" s="4" t="s">
        <v>32</v>
      </c>
      <c r="K250" s="2" t="s">
        <v>30</v>
      </c>
      <c r="L250" s="2">
        <v>62</v>
      </c>
      <c r="M250" t="str" cm="1">
        <f t="array" ref="M250">_xlfn.IFS(L250&lt;=35,"YOUNG_ADULTS",L250&lt;=55,"MIDDLE_AGED",L250&gt;55,"OLD-AGED")</f>
        <v>OLD-AGED</v>
      </c>
      <c r="O250" t="str" cm="1">
        <f t="array" ref="O250">_xlfn.IFS(D250&lt;=50000,"low income",D250&lt;=100000,"Mid income",D250&gt;100000,"High income")</f>
        <v>low income</v>
      </c>
      <c r="P250" t="str" cm="1">
        <f t="array" ref="P250">_xlfn.IFS(E250&lt;=2,"&lt;=2",E250&gt;2,"&gt;2")</f>
        <v>&gt;2</v>
      </c>
    </row>
    <row r="251" spans="1:16">
      <c r="A251" s="2">
        <v>23432</v>
      </c>
      <c r="B251" s="2" t="s">
        <v>28</v>
      </c>
      <c r="C251" s="2" t="s">
        <v>16</v>
      </c>
      <c r="D251" s="6">
        <v>70000</v>
      </c>
      <c r="E251" s="2">
        <v>0</v>
      </c>
      <c r="F251" s="2" t="s">
        <v>18</v>
      </c>
      <c r="G251" s="2" t="s">
        <v>25</v>
      </c>
      <c r="H251" s="2" t="s">
        <v>20</v>
      </c>
      <c r="I251" s="2">
        <v>1</v>
      </c>
      <c r="J251" s="4" t="s">
        <v>29</v>
      </c>
      <c r="K251" s="2" t="s">
        <v>30</v>
      </c>
      <c r="L251" s="2">
        <v>37</v>
      </c>
      <c r="M251" t="str" cm="1">
        <f t="array" ref="M251">_xlfn.IFS(L251&lt;=35,"YOUNG_ADULTS",L251&lt;=55,"MIDDLE_AGED",L251&gt;55,"OLD-AGED")</f>
        <v>MIDDLE_AGED</v>
      </c>
      <c r="N251" s="2" t="s">
        <v>20</v>
      </c>
      <c r="O251" t="str" cm="1">
        <f t="array" ref="O251">_xlfn.IFS(D251&lt;=50000,"low income",D251&lt;=100000,"Mid income",D251&gt;100000,"High income")</f>
        <v>Mid income</v>
      </c>
      <c r="P251" t="str" cm="1">
        <f t="array" ref="P251">_xlfn.IFS(E251&lt;=2,"&lt;=2",E251&gt;2,"&gt;2")</f>
        <v>&lt;=2</v>
      </c>
    </row>
    <row r="252" spans="1:16">
      <c r="A252" s="2">
        <v>22931</v>
      </c>
      <c r="B252" s="2" t="s">
        <v>16</v>
      </c>
      <c r="C252" s="2" t="s">
        <v>16</v>
      </c>
      <c r="D252" s="6">
        <v>100000</v>
      </c>
      <c r="E252" s="2">
        <v>5</v>
      </c>
      <c r="F252" s="2" t="s">
        <v>37</v>
      </c>
      <c r="G252" s="2" t="s">
        <v>34</v>
      </c>
      <c r="H252" s="2" t="s">
        <v>26</v>
      </c>
      <c r="I252" s="2">
        <v>1</v>
      </c>
      <c r="J252" s="4" t="s">
        <v>32</v>
      </c>
      <c r="K252" s="2" t="s">
        <v>30</v>
      </c>
      <c r="L252" s="2">
        <v>78</v>
      </c>
      <c r="M252" t="str" cm="1">
        <f t="array" ref="M252">_xlfn.IFS(L252&lt;=35,"YOUNG_ADULTS",L252&lt;=55,"MIDDLE_AGED",L252&gt;55,"OLD-AGED")</f>
        <v>OLD-AGED</v>
      </c>
      <c r="N252" s="2" t="s">
        <v>20</v>
      </c>
      <c r="O252" t="str" cm="1">
        <f t="array" ref="O252">_xlfn.IFS(D252&lt;=50000,"low income",D252&lt;=100000,"Mid income",D252&gt;100000,"High income")</f>
        <v>Mid income</v>
      </c>
      <c r="P252" t="str" cm="1">
        <f t="array" ref="P252">_xlfn.IFS(E252&lt;=2,"&lt;=2",E252&gt;2,"&gt;2")</f>
        <v>&gt;2</v>
      </c>
    </row>
    <row r="253" spans="1:16">
      <c r="A253" s="2">
        <v>18172</v>
      </c>
      <c r="B253" s="2" t="s">
        <v>16</v>
      </c>
      <c r="C253" s="2" t="s">
        <v>16</v>
      </c>
      <c r="D253" s="6">
        <v>130000</v>
      </c>
      <c r="E253" s="2">
        <v>4</v>
      </c>
      <c r="F253" s="2" t="s">
        <v>33</v>
      </c>
      <c r="G253" s="2" t="s">
        <v>25</v>
      </c>
      <c r="H253" s="2" t="s">
        <v>20</v>
      </c>
      <c r="I253" s="2">
        <v>3</v>
      </c>
      <c r="J253" s="4" t="s">
        <v>21</v>
      </c>
      <c r="K253" s="2" t="s">
        <v>22</v>
      </c>
      <c r="L253" s="2">
        <v>55</v>
      </c>
      <c r="M253" t="str" cm="1">
        <f t="array" ref="M253">_xlfn.IFS(L253&lt;=35,"YOUNG_ADULTS",L253&lt;=55,"MIDDLE_AGED",L253&gt;55,"OLD-AGED")</f>
        <v>MIDDLE_AGED</v>
      </c>
      <c r="O253" t="str" cm="1">
        <f t="array" ref="O253">_xlfn.IFS(D253&lt;=50000,"low income",D253&lt;=100000,"Mid income",D253&gt;100000,"High income")</f>
        <v>High income</v>
      </c>
      <c r="P253" t="str" cm="1">
        <f t="array" ref="P253">_xlfn.IFS(E253&lt;=2,"&lt;=2",E253&gt;2,"&gt;2")</f>
        <v>&gt;2</v>
      </c>
    </row>
    <row r="254" spans="1:16">
      <c r="A254" s="2">
        <v>12666</v>
      </c>
      <c r="B254" s="2" t="s">
        <v>28</v>
      </c>
      <c r="C254" s="2" t="s">
        <v>16</v>
      </c>
      <c r="D254" s="6">
        <v>60000</v>
      </c>
      <c r="E254" s="2">
        <v>0</v>
      </c>
      <c r="F254" s="2" t="s">
        <v>18</v>
      </c>
      <c r="G254" s="2" t="s">
        <v>25</v>
      </c>
      <c r="H254" s="2" t="s">
        <v>26</v>
      </c>
      <c r="I254" s="2">
        <v>4</v>
      </c>
      <c r="J254" s="4" t="s">
        <v>27</v>
      </c>
      <c r="K254" s="2" t="s">
        <v>30</v>
      </c>
      <c r="L254" s="2">
        <v>31</v>
      </c>
      <c r="M254" t="str" cm="1">
        <f t="array" ref="M254">_xlfn.IFS(L254&lt;=35,"YOUNG_ADULTS",L254&lt;=55,"MIDDLE_AGED",L254&gt;55,"OLD-AGED")</f>
        <v>YOUNG_ADULTS</v>
      </c>
      <c r="O254" t="str" cm="1">
        <f t="array" ref="O254">_xlfn.IFS(D254&lt;=50000,"low income",D254&lt;=100000,"Mid income",D254&gt;100000,"High income")</f>
        <v>Mid income</v>
      </c>
      <c r="P254" t="str" cm="1">
        <f t="array" ref="P254">_xlfn.IFS(E254&lt;=2,"&lt;=2",E254&gt;2,"&gt;2")</f>
        <v>&lt;=2</v>
      </c>
    </row>
    <row r="255" spans="1:16">
      <c r="A255" s="2">
        <v>20598</v>
      </c>
      <c r="B255" s="2" t="s">
        <v>16</v>
      </c>
      <c r="C255" s="2" t="s">
        <v>16</v>
      </c>
      <c r="D255" s="6">
        <v>100000</v>
      </c>
      <c r="E255" s="2">
        <v>3</v>
      </c>
      <c r="F255" s="2" t="s">
        <v>35</v>
      </c>
      <c r="G255" s="2" t="s">
        <v>25</v>
      </c>
      <c r="H255" s="2" t="s">
        <v>20</v>
      </c>
      <c r="I255" s="2">
        <v>0</v>
      </c>
      <c r="J255" s="4" t="s">
        <v>36</v>
      </c>
      <c r="K255" s="2" t="s">
        <v>22</v>
      </c>
      <c r="L255" s="2">
        <v>59</v>
      </c>
      <c r="M255" t="str" cm="1">
        <f t="array" ref="M255">_xlfn.IFS(L255&lt;=35,"YOUNG_ADULTS",L255&lt;=55,"MIDDLE_AGED",L255&gt;55,"OLD-AGED")</f>
        <v>OLD-AGED</v>
      </c>
      <c r="N255" s="2" t="s">
        <v>20</v>
      </c>
      <c r="O255" t="str" cm="1">
        <f t="array" ref="O255">_xlfn.IFS(D255&lt;=50000,"low income",D255&lt;=100000,"Mid income",D255&gt;100000,"High income")</f>
        <v>Mid income</v>
      </c>
      <c r="P255" t="str" cm="1">
        <f t="array" ref="P255">_xlfn.IFS(E255&lt;=2,"&lt;=2",E255&gt;2,"&gt;2")</f>
        <v>&gt;2</v>
      </c>
    </row>
    <row r="256" spans="1:16">
      <c r="A256" s="2">
        <v>21375</v>
      </c>
      <c r="B256" s="2" t="s">
        <v>28</v>
      </c>
      <c r="C256" s="2" t="s">
        <v>16</v>
      </c>
      <c r="D256" s="6">
        <v>20000</v>
      </c>
      <c r="E256" s="2">
        <v>2</v>
      </c>
      <c r="F256" s="2" t="s">
        <v>35</v>
      </c>
      <c r="G256" s="2" t="s">
        <v>24</v>
      </c>
      <c r="H256" s="2" t="s">
        <v>20</v>
      </c>
      <c r="I256" s="2">
        <v>2</v>
      </c>
      <c r="J256" s="4" t="s">
        <v>29</v>
      </c>
      <c r="K256" s="2" t="s">
        <v>30</v>
      </c>
      <c r="L256" s="2">
        <v>57</v>
      </c>
      <c r="M256" t="str" cm="1">
        <f t="array" ref="M256">_xlfn.IFS(L256&lt;=35,"YOUNG_ADULTS",L256&lt;=55,"MIDDLE_AGED",L256&gt;55,"OLD-AGED")</f>
        <v>OLD-AGED</v>
      </c>
      <c r="O256" t="str" cm="1">
        <f t="array" ref="O256">_xlfn.IFS(D256&lt;=50000,"low income",D256&lt;=100000,"Mid income",D256&gt;100000,"High income")</f>
        <v>low income</v>
      </c>
      <c r="P256" t="str" cm="1">
        <f t="array" ref="P256">_xlfn.IFS(E256&lt;=2,"&lt;=2",E256&gt;2,"&gt;2")</f>
        <v>&lt;=2</v>
      </c>
    </row>
    <row r="257" spans="1:16">
      <c r="A257" s="2">
        <v>20839</v>
      </c>
      <c r="B257" s="2" t="s">
        <v>28</v>
      </c>
      <c r="C257" s="2" t="s">
        <v>17</v>
      </c>
      <c r="D257" s="6">
        <v>30000</v>
      </c>
      <c r="E257" s="2">
        <v>3</v>
      </c>
      <c r="F257" s="2" t="s">
        <v>37</v>
      </c>
      <c r="G257" s="2" t="s">
        <v>24</v>
      </c>
      <c r="H257" s="2" t="s">
        <v>20</v>
      </c>
      <c r="I257" s="2">
        <v>0</v>
      </c>
      <c r="J257" s="4" t="s">
        <v>21</v>
      </c>
      <c r="K257" s="2" t="s">
        <v>22</v>
      </c>
      <c r="L257" s="2">
        <v>47</v>
      </c>
      <c r="M257" t="str" cm="1">
        <f t="array" ref="M257">_xlfn.IFS(L257&lt;=35,"YOUNG_ADULTS",L257&lt;=55,"MIDDLE_AGED",L257&gt;55,"OLD-AGED")</f>
        <v>MIDDLE_AGED</v>
      </c>
      <c r="N257" s="2" t="s">
        <v>20</v>
      </c>
      <c r="O257" t="str" cm="1">
        <f t="array" ref="O257">_xlfn.IFS(D257&lt;=50000,"low income",D257&lt;=100000,"Mid income",D257&gt;100000,"High income")</f>
        <v>low income</v>
      </c>
      <c r="P257" t="str" cm="1">
        <f t="array" ref="P257">_xlfn.IFS(E257&lt;=2,"&lt;=2",E257&gt;2,"&gt;2")</f>
        <v>&gt;2</v>
      </c>
    </row>
    <row r="258" spans="1:16">
      <c r="A258" s="2">
        <v>21738</v>
      </c>
      <c r="B258" s="2" t="s">
        <v>16</v>
      </c>
      <c r="C258" s="2" t="s">
        <v>16</v>
      </c>
      <c r="D258" s="6">
        <v>20000</v>
      </c>
      <c r="E258" s="2">
        <v>1</v>
      </c>
      <c r="F258" s="2" t="s">
        <v>37</v>
      </c>
      <c r="G258" s="2" t="s">
        <v>24</v>
      </c>
      <c r="H258" s="2" t="s">
        <v>20</v>
      </c>
      <c r="I258" s="2">
        <v>0</v>
      </c>
      <c r="J258" s="4" t="s">
        <v>21</v>
      </c>
      <c r="K258" s="2" t="s">
        <v>22</v>
      </c>
      <c r="L258" s="2">
        <v>43</v>
      </c>
      <c r="M258" t="str" cm="1">
        <f t="array" ref="M258">_xlfn.IFS(L258&lt;=35,"YOUNG_ADULTS",L258&lt;=55,"MIDDLE_AGED",L258&gt;55,"OLD-AGED")</f>
        <v>MIDDLE_AGED</v>
      </c>
      <c r="O258" t="str" cm="1">
        <f t="array" ref="O258">_xlfn.IFS(D258&lt;=50000,"low income",D258&lt;=100000,"Mid income",D258&gt;100000,"High income")</f>
        <v>low income</v>
      </c>
      <c r="P258" t="str" cm="1">
        <f t="array" ref="P258">_xlfn.IFS(E258&lt;=2,"&lt;=2",E258&gt;2,"&gt;2")</f>
        <v>&lt;=2</v>
      </c>
    </row>
    <row r="259" spans="1:16">
      <c r="A259" s="2">
        <v>14164</v>
      </c>
      <c r="B259" s="2" t="s">
        <v>28</v>
      </c>
      <c r="C259" s="2" t="s">
        <v>17</v>
      </c>
      <c r="D259" s="6">
        <v>50000</v>
      </c>
      <c r="E259" s="2">
        <v>0</v>
      </c>
      <c r="F259" s="2" t="s">
        <v>37</v>
      </c>
      <c r="G259" s="2" t="s">
        <v>19</v>
      </c>
      <c r="H259" s="2" t="s">
        <v>20</v>
      </c>
      <c r="I259" s="2">
        <v>0</v>
      </c>
      <c r="J259" s="4" t="s">
        <v>21</v>
      </c>
      <c r="K259" s="2" t="s">
        <v>22</v>
      </c>
      <c r="L259" s="2">
        <v>36</v>
      </c>
      <c r="M259" t="str" cm="1">
        <f t="array" ref="M259">_xlfn.IFS(L259&lt;=35,"YOUNG_ADULTS",L259&lt;=55,"MIDDLE_AGED",L259&gt;55,"OLD-AGED")</f>
        <v>MIDDLE_AGED</v>
      </c>
      <c r="N259" s="2" t="s">
        <v>20</v>
      </c>
      <c r="O259" t="str" cm="1">
        <f t="array" ref="O259">_xlfn.IFS(D259&lt;=50000,"low income",D259&lt;=100000,"Mid income",D259&gt;100000,"High income")</f>
        <v>low income</v>
      </c>
      <c r="P259" t="str" cm="1">
        <f t="array" ref="P259">_xlfn.IFS(E259&lt;=2,"&lt;=2",E259&gt;2,"&gt;2")</f>
        <v>&lt;=2</v>
      </c>
    </row>
    <row r="260" spans="1:16">
      <c r="A260" s="2">
        <v>14193</v>
      </c>
      <c r="B260" s="2" t="s">
        <v>28</v>
      </c>
      <c r="C260" s="2" t="s">
        <v>17</v>
      </c>
      <c r="D260" s="6">
        <v>100000</v>
      </c>
      <c r="E260" s="2">
        <v>3</v>
      </c>
      <c r="F260" s="2" t="s">
        <v>23</v>
      </c>
      <c r="G260" s="2" t="s">
        <v>34</v>
      </c>
      <c r="H260" s="2" t="s">
        <v>20</v>
      </c>
      <c r="I260" s="2">
        <v>4</v>
      </c>
      <c r="J260" s="4" t="s">
        <v>36</v>
      </c>
      <c r="K260" s="2" t="s">
        <v>22</v>
      </c>
      <c r="L260" s="2">
        <v>56</v>
      </c>
      <c r="M260" t="str" cm="1">
        <f t="array" ref="M260">_xlfn.IFS(L260&lt;=35,"YOUNG_ADULTS",L260&lt;=55,"MIDDLE_AGED",L260&gt;55,"OLD-AGED")</f>
        <v>OLD-AGED</v>
      </c>
      <c r="O260" t="str" cm="1">
        <f t="array" ref="O260">_xlfn.IFS(D260&lt;=50000,"low income",D260&lt;=100000,"Mid income",D260&gt;100000,"High income")</f>
        <v>Mid income</v>
      </c>
      <c r="P260" t="str" cm="1">
        <f t="array" ref="P260">_xlfn.IFS(E260&lt;=2,"&lt;=2",E260&gt;2,"&gt;2")</f>
        <v>&gt;2</v>
      </c>
    </row>
    <row r="261" spans="1:16">
      <c r="A261" s="2">
        <v>12705</v>
      </c>
      <c r="B261" s="2" t="s">
        <v>16</v>
      </c>
      <c r="C261" s="2" t="s">
        <v>16</v>
      </c>
      <c r="D261" s="6">
        <v>150000</v>
      </c>
      <c r="E261" s="2">
        <v>0</v>
      </c>
      <c r="F261" s="2" t="s">
        <v>18</v>
      </c>
      <c r="G261" s="2" t="s">
        <v>34</v>
      </c>
      <c r="H261" s="2" t="s">
        <v>20</v>
      </c>
      <c r="I261" s="2">
        <v>4</v>
      </c>
      <c r="J261" s="4" t="s">
        <v>21</v>
      </c>
      <c r="K261" s="2" t="s">
        <v>30</v>
      </c>
      <c r="L261" s="2">
        <v>37</v>
      </c>
      <c r="M261" t="str" cm="1">
        <f t="array" ref="M261">_xlfn.IFS(L261&lt;=35,"YOUNG_ADULTS",L261&lt;=55,"MIDDLE_AGED",L261&gt;55,"OLD-AGED")</f>
        <v>MIDDLE_AGED</v>
      </c>
      <c r="N261" s="2" t="s">
        <v>20</v>
      </c>
      <c r="O261" t="str" cm="1">
        <f t="array" ref="O261">_xlfn.IFS(D261&lt;=50000,"low income",D261&lt;=100000,"Mid income",D261&gt;100000,"High income")</f>
        <v>High income</v>
      </c>
      <c r="P261" t="str" cm="1">
        <f t="array" ref="P261">_xlfn.IFS(E261&lt;=2,"&lt;=2",E261&gt;2,"&gt;2")</f>
        <v>&lt;=2</v>
      </c>
    </row>
    <row r="262" spans="1:16">
      <c r="A262" s="2">
        <v>22672</v>
      </c>
      <c r="B262" s="2" t="s">
        <v>28</v>
      </c>
      <c r="C262" s="2" t="s">
        <v>17</v>
      </c>
      <c r="D262" s="6">
        <v>30000</v>
      </c>
      <c r="E262" s="2">
        <v>2</v>
      </c>
      <c r="F262" s="2" t="s">
        <v>23</v>
      </c>
      <c r="G262" s="2" t="s">
        <v>24</v>
      </c>
      <c r="H262" s="2" t="s">
        <v>20</v>
      </c>
      <c r="I262" s="2">
        <v>0</v>
      </c>
      <c r="J262" s="4" t="s">
        <v>21</v>
      </c>
      <c r="K262" s="2" t="s">
        <v>22</v>
      </c>
      <c r="L262" s="2">
        <v>43</v>
      </c>
      <c r="M262" t="str" cm="1">
        <f t="array" ref="M262">_xlfn.IFS(L262&lt;=35,"YOUNG_ADULTS",L262&lt;=55,"MIDDLE_AGED",L262&gt;55,"OLD-AGED")</f>
        <v>MIDDLE_AGED</v>
      </c>
      <c r="O262" t="str" cm="1">
        <f t="array" ref="O262">_xlfn.IFS(D262&lt;=50000,"low income",D262&lt;=100000,"Mid income",D262&gt;100000,"High income")</f>
        <v>low income</v>
      </c>
      <c r="P262" t="str" cm="1">
        <f t="array" ref="P262">_xlfn.IFS(E262&lt;=2,"&lt;=2",E262&gt;2,"&gt;2")</f>
        <v>&lt;=2</v>
      </c>
    </row>
    <row r="263" spans="1:16">
      <c r="A263" s="2">
        <v>26219</v>
      </c>
      <c r="B263" s="2" t="s">
        <v>16</v>
      </c>
      <c r="C263" s="2" t="s">
        <v>17</v>
      </c>
      <c r="D263" s="6">
        <v>40000</v>
      </c>
      <c r="E263" s="2">
        <v>1</v>
      </c>
      <c r="F263" s="2" t="s">
        <v>18</v>
      </c>
      <c r="G263" s="2" t="s">
        <v>19</v>
      </c>
      <c r="H263" s="2" t="s">
        <v>20</v>
      </c>
      <c r="I263" s="2">
        <v>1</v>
      </c>
      <c r="J263" s="4" t="s">
        <v>32</v>
      </c>
      <c r="K263" s="2" t="s">
        <v>22</v>
      </c>
      <c r="L263" s="2">
        <v>33</v>
      </c>
      <c r="M263" t="str" cm="1">
        <f t="array" ref="M263">_xlfn.IFS(L263&lt;=35,"YOUNG_ADULTS",L263&lt;=55,"MIDDLE_AGED",L263&gt;55,"OLD-AGED")</f>
        <v>YOUNG_ADULTS</v>
      </c>
      <c r="N263" s="2" t="s">
        <v>20</v>
      </c>
      <c r="O263" t="str" cm="1">
        <f t="array" ref="O263">_xlfn.IFS(D263&lt;=50000,"low income",D263&lt;=100000,"Mid income",D263&gt;100000,"High income")</f>
        <v>low income</v>
      </c>
      <c r="P263" t="str" cm="1">
        <f t="array" ref="P263">_xlfn.IFS(E263&lt;=2,"&lt;=2",E263&gt;2,"&gt;2")</f>
        <v>&lt;=2</v>
      </c>
    </row>
    <row r="264" spans="1:16">
      <c r="A264" s="2">
        <v>28468</v>
      </c>
      <c r="B264" s="2" t="s">
        <v>16</v>
      </c>
      <c r="C264" s="2" t="s">
        <v>17</v>
      </c>
      <c r="D264" s="6">
        <v>10000</v>
      </c>
      <c r="E264" s="2">
        <v>2</v>
      </c>
      <c r="F264" s="2" t="s">
        <v>23</v>
      </c>
      <c r="G264" s="2" t="s">
        <v>31</v>
      </c>
      <c r="H264" s="2" t="s">
        <v>20</v>
      </c>
      <c r="I264" s="2">
        <v>0</v>
      </c>
      <c r="J264" s="4" t="s">
        <v>32</v>
      </c>
      <c r="K264" s="2" t="s">
        <v>22</v>
      </c>
      <c r="L264" s="2">
        <v>51</v>
      </c>
      <c r="M264" t="str" cm="1">
        <f t="array" ref="M264">_xlfn.IFS(L264&lt;=35,"YOUNG_ADULTS",L264&lt;=55,"MIDDLE_AGED",L264&gt;55,"OLD-AGED")</f>
        <v>MIDDLE_AGED</v>
      </c>
      <c r="O264" t="str" cm="1">
        <f t="array" ref="O264">_xlfn.IFS(D264&lt;=50000,"low income",D264&lt;=100000,"Mid income",D264&gt;100000,"High income")</f>
        <v>low income</v>
      </c>
      <c r="P264" t="str" cm="1">
        <f t="array" ref="P264">_xlfn.IFS(E264&lt;=2,"&lt;=2",E264&gt;2,"&gt;2")</f>
        <v>&lt;=2</v>
      </c>
    </row>
    <row r="265" spans="1:16">
      <c r="A265" s="2">
        <v>23419</v>
      </c>
      <c r="B265" s="2" t="s">
        <v>28</v>
      </c>
      <c r="C265" s="2" t="s">
        <v>17</v>
      </c>
      <c r="D265" s="6">
        <v>70000</v>
      </c>
      <c r="E265" s="2">
        <v>5</v>
      </c>
      <c r="F265" s="2" t="s">
        <v>18</v>
      </c>
      <c r="G265" s="2" t="s">
        <v>25</v>
      </c>
      <c r="H265" s="2" t="s">
        <v>20</v>
      </c>
      <c r="I265" s="2">
        <v>3</v>
      </c>
      <c r="J265" s="4" t="s">
        <v>36</v>
      </c>
      <c r="K265" s="2" t="s">
        <v>30</v>
      </c>
      <c r="L265" s="2">
        <v>39</v>
      </c>
      <c r="M265" t="str" cm="1">
        <f t="array" ref="M265">_xlfn.IFS(L265&lt;=35,"YOUNG_ADULTS",L265&lt;=55,"MIDDLE_AGED",L265&gt;55,"OLD-AGED")</f>
        <v>MIDDLE_AGED</v>
      </c>
      <c r="O265" t="str" cm="1">
        <f t="array" ref="O265">_xlfn.IFS(D265&lt;=50000,"low income",D265&lt;=100000,"Mid income",D265&gt;100000,"High income")</f>
        <v>Mid income</v>
      </c>
      <c r="P265" t="str" cm="1">
        <f t="array" ref="P265">_xlfn.IFS(E265&lt;=2,"&lt;=2",E265&gt;2,"&gt;2")</f>
        <v>&gt;2</v>
      </c>
    </row>
    <row r="266" spans="1:16">
      <c r="A266" s="2">
        <v>17964</v>
      </c>
      <c r="B266" s="2" t="s">
        <v>16</v>
      </c>
      <c r="C266" s="2" t="s">
        <v>16</v>
      </c>
      <c r="D266" s="6">
        <v>40000</v>
      </c>
      <c r="E266" s="2">
        <v>0</v>
      </c>
      <c r="F266" s="2" t="s">
        <v>37</v>
      </c>
      <c r="G266" s="2" t="s">
        <v>24</v>
      </c>
      <c r="H266" s="2" t="s">
        <v>20</v>
      </c>
      <c r="I266" s="2">
        <v>0</v>
      </c>
      <c r="J266" s="4" t="s">
        <v>21</v>
      </c>
      <c r="K266" s="2" t="s">
        <v>22</v>
      </c>
      <c r="L266" s="2">
        <v>37</v>
      </c>
      <c r="M266" t="str" cm="1">
        <f t="array" ref="M266">_xlfn.IFS(L266&lt;=35,"YOUNG_ADULTS",L266&lt;=55,"MIDDLE_AGED",L266&gt;55,"OLD-AGED")</f>
        <v>MIDDLE_AGED</v>
      </c>
      <c r="N266" s="2" t="s">
        <v>20</v>
      </c>
      <c r="O266" t="str" cm="1">
        <f t="array" ref="O266">_xlfn.IFS(D266&lt;=50000,"low income",D266&lt;=100000,"Mid income",D266&gt;100000,"High income")</f>
        <v>low income</v>
      </c>
      <c r="P266" t="str" cm="1">
        <f t="array" ref="P266">_xlfn.IFS(E266&lt;=2,"&lt;=2",E266&gt;2,"&gt;2")</f>
        <v>&lt;=2</v>
      </c>
    </row>
    <row r="267" spans="1:16">
      <c r="A267" s="2">
        <v>20919</v>
      </c>
      <c r="B267" s="2" t="s">
        <v>28</v>
      </c>
      <c r="C267" s="2" t="s">
        <v>17</v>
      </c>
      <c r="D267" s="6">
        <v>30000</v>
      </c>
      <c r="E267" s="2">
        <v>2</v>
      </c>
      <c r="F267" s="2" t="s">
        <v>23</v>
      </c>
      <c r="G267" s="2" t="s">
        <v>24</v>
      </c>
      <c r="H267" s="2" t="s">
        <v>20</v>
      </c>
      <c r="I267" s="2">
        <v>2</v>
      </c>
      <c r="J267" s="4" t="s">
        <v>21</v>
      </c>
      <c r="K267" s="2" t="s">
        <v>22</v>
      </c>
      <c r="L267" s="2">
        <v>42</v>
      </c>
      <c r="M267" t="str" cm="1">
        <f t="array" ref="M267">_xlfn.IFS(L267&lt;=35,"YOUNG_ADULTS",L267&lt;=55,"MIDDLE_AGED",L267&gt;55,"OLD-AGED")</f>
        <v>MIDDLE_AGED</v>
      </c>
      <c r="O267" t="str" cm="1">
        <f t="array" ref="O267">_xlfn.IFS(D267&lt;=50000,"low income",D267&lt;=100000,"Mid income",D267&gt;100000,"High income")</f>
        <v>low income</v>
      </c>
      <c r="P267" t="str" cm="1">
        <f t="array" ref="P267">_xlfn.IFS(E267&lt;=2,"&lt;=2",E267&gt;2,"&gt;2")</f>
        <v>&lt;=2</v>
      </c>
    </row>
    <row r="268" spans="1:16">
      <c r="A268" s="2">
        <v>20927</v>
      </c>
      <c r="B268" s="2" t="s">
        <v>28</v>
      </c>
      <c r="C268" s="2" t="s">
        <v>17</v>
      </c>
      <c r="D268" s="6">
        <v>20000</v>
      </c>
      <c r="E268" s="2">
        <v>5</v>
      </c>
      <c r="F268" s="2" t="s">
        <v>33</v>
      </c>
      <c r="G268" s="2" t="s">
        <v>31</v>
      </c>
      <c r="H268" s="2" t="s">
        <v>20</v>
      </c>
      <c r="I268" s="2">
        <v>2</v>
      </c>
      <c r="J268" s="4" t="s">
        <v>21</v>
      </c>
      <c r="K268" s="2" t="s">
        <v>22</v>
      </c>
      <c r="L268" s="2">
        <v>27</v>
      </c>
      <c r="M268" t="str" cm="1">
        <f t="array" ref="M268">_xlfn.IFS(L268&lt;=35,"YOUNG_ADULTS",L268&lt;=55,"MIDDLE_AGED",L268&gt;55,"OLD-AGED")</f>
        <v>YOUNG_ADULTS</v>
      </c>
      <c r="O268" t="str" cm="1">
        <f t="array" ref="O268">_xlfn.IFS(D268&lt;=50000,"low income",D268&lt;=100000,"Mid income",D268&gt;100000,"High income")</f>
        <v>low income</v>
      </c>
      <c r="P268" t="str" cm="1">
        <f t="array" ref="P268">_xlfn.IFS(E268&lt;=2,"&lt;=2",E268&gt;2,"&gt;2")</f>
        <v>&gt;2</v>
      </c>
    </row>
    <row r="269" spans="1:16">
      <c r="A269" s="2">
        <v>13133</v>
      </c>
      <c r="B269" s="2" t="s">
        <v>28</v>
      </c>
      <c r="C269" s="2" t="s">
        <v>16</v>
      </c>
      <c r="D269" s="6">
        <v>100000</v>
      </c>
      <c r="E269" s="2">
        <v>5</v>
      </c>
      <c r="F269" s="2" t="s">
        <v>18</v>
      </c>
      <c r="G269" s="2" t="s">
        <v>25</v>
      </c>
      <c r="H269" s="2" t="s">
        <v>20</v>
      </c>
      <c r="I269" s="2">
        <v>1</v>
      </c>
      <c r="J269" s="4" t="s">
        <v>29</v>
      </c>
      <c r="K269" s="2" t="s">
        <v>30</v>
      </c>
      <c r="L269" s="2">
        <v>47</v>
      </c>
      <c r="M269" t="str" cm="1">
        <f t="array" ref="M269">_xlfn.IFS(L269&lt;=35,"YOUNG_ADULTS",L269&lt;=55,"MIDDLE_AGED",L269&gt;55,"OLD-AGED")</f>
        <v>MIDDLE_AGED</v>
      </c>
      <c r="N269" s="2" t="s">
        <v>20</v>
      </c>
      <c r="O269" t="str" cm="1">
        <f t="array" ref="O269">_xlfn.IFS(D269&lt;=50000,"low income",D269&lt;=100000,"Mid income",D269&gt;100000,"High income")</f>
        <v>Mid income</v>
      </c>
      <c r="P269" t="str" cm="1">
        <f t="array" ref="P269">_xlfn.IFS(E269&lt;=2,"&lt;=2",E269&gt;2,"&gt;2")</f>
        <v>&gt;2</v>
      </c>
    </row>
    <row r="270" spans="1:16">
      <c r="A270" s="2">
        <v>19626</v>
      </c>
      <c r="B270" s="2" t="s">
        <v>16</v>
      </c>
      <c r="C270" s="2" t="s">
        <v>16</v>
      </c>
      <c r="D270" s="6">
        <v>70000</v>
      </c>
      <c r="E270" s="2">
        <v>5</v>
      </c>
      <c r="F270" s="2" t="s">
        <v>23</v>
      </c>
      <c r="G270" s="2" t="s">
        <v>19</v>
      </c>
      <c r="H270" s="2" t="s">
        <v>20</v>
      </c>
      <c r="I270" s="2">
        <v>3</v>
      </c>
      <c r="J270" s="4" t="s">
        <v>29</v>
      </c>
      <c r="K270" s="2" t="s">
        <v>30</v>
      </c>
      <c r="L270" s="2">
        <v>45</v>
      </c>
      <c r="M270" t="str" cm="1">
        <f t="array" ref="M270">_xlfn.IFS(L270&lt;=35,"YOUNG_ADULTS",L270&lt;=55,"MIDDLE_AGED",L270&gt;55,"OLD-AGED")</f>
        <v>MIDDLE_AGED</v>
      </c>
      <c r="O270" t="str" cm="1">
        <f t="array" ref="O270">_xlfn.IFS(D270&lt;=50000,"low income",D270&lt;=100000,"Mid income",D270&gt;100000,"High income")</f>
        <v>Mid income</v>
      </c>
      <c r="P270" t="str" cm="1">
        <f t="array" ref="P270">_xlfn.IFS(E270&lt;=2,"&lt;=2",E270&gt;2,"&gt;2")</f>
        <v>&gt;2</v>
      </c>
    </row>
    <row r="271" spans="1:16">
      <c r="A271" s="2">
        <v>21039</v>
      </c>
      <c r="B271" s="2" t="s">
        <v>28</v>
      </c>
      <c r="C271" s="2" t="s">
        <v>17</v>
      </c>
      <c r="D271" s="6">
        <v>50000</v>
      </c>
      <c r="E271" s="2">
        <v>0</v>
      </c>
      <c r="F271" s="2" t="s">
        <v>37</v>
      </c>
      <c r="G271" s="2" t="s">
        <v>19</v>
      </c>
      <c r="H271" s="2" t="s">
        <v>26</v>
      </c>
      <c r="I271" s="2">
        <v>0</v>
      </c>
      <c r="J271" s="4" t="s">
        <v>21</v>
      </c>
      <c r="K271" s="2" t="s">
        <v>22</v>
      </c>
      <c r="L271" s="2">
        <v>37</v>
      </c>
      <c r="M271" t="str" cm="1">
        <f t="array" ref="M271">_xlfn.IFS(L271&lt;=35,"YOUNG_ADULTS",L271&lt;=55,"MIDDLE_AGED",L271&gt;55,"OLD-AGED")</f>
        <v>MIDDLE_AGED</v>
      </c>
      <c r="N271" s="2" t="s">
        <v>20</v>
      </c>
      <c r="O271" t="str" cm="1">
        <f t="array" ref="O271">_xlfn.IFS(D271&lt;=50000,"low income",D271&lt;=100000,"Mid income",D271&gt;100000,"High income")</f>
        <v>low income</v>
      </c>
      <c r="P271" t="str" cm="1">
        <f t="array" ref="P271">_xlfn.IFS(E271&lt;=2,"&lt;=2",E271&gt;2,"&gt;2")</f>
        <v>&lt;=2</v>
      </c>
    </row>
    <row r="272" spans="1:16">
      <c r="A272" s="2">
        <v>12231</v>
      </c>
      <c r="B272" s="2" t="s">
        <v>28</v>
      </c>
      <c r="C272" s="2" t="s">
        <v>17</v>
      </c>
      <c r="D272" s="6">
        <v>10000</v>
      </c>
      <c r="E272" s="2">
        <v>2</v>
      </c>
      <c r="F272" s="2" t="s">
        <v>23</v>
      </c>
      <c r="G272" s="2" t="s">
        <v>31</v>
      </c>
      <c r="H272" s="2" t="s">
        <v>20</v>
      </c>
      <c r="I272" s="2">
        <v>0</v>
      </c>
      <c r="J272" s="4" t="s">
        <v>21</v>
      </c>
      <c r="K272" s="2" t="s">
        <v>22</v>
      </c>
      <c r="L272" s="2">
        <v>51</v>
      </c>
      <c r="M272" t="str" cm="1">
        <f t="array" ref="M272">_xlfn.IFS(L272&lt;=35,"YOUNG_ADULTS",L272&lt;=55,"MIDDLE_AGED",L272&gt;55,"OLD-AGED")</f>
        <v>MIDDLE_AGED</v>
      </c>
      <c r="N272" s="2" t="s">
        <v>20</v>
      </c>
      <c r="O272" t="str" cm="1">
        <f t="array" ref="O272">_xlfn.IFS(D272&lt;=50000,"low income",D272&lt;=100000,"Mid income",D272&gt;100000,"High income")</f>
        <v>low income</v>
      </c>
      <c r="P272" t="str" cm="1">
        <f t="array" ref="P272">_xlfn.IFS(E272&lt;=2,"&lt;=2",E272&gt;2,"&gt;2")</f>
        <v>&lt;=2</v>
      </c>
    </row>
    <row r="273" spans="1:16">
      <c r="A273" s="2">
        <v>25665</v>
      </c>
      <c r="B273" s="2" t="s">
        <v>28</v>
      </c>
      <c r="C273" s="2" t="s">
        <v>17</v>
      </c>
      <c r="D273" s="6">
        <v>20000</v>
      </c>
      <c r="E273" s="2">
        <v>0</v>
      </c>
      <c r="F273" s="2" t="s">
        <v>33</v>
      </c>
      <c r="G273" s="2" t="s">
        <v>31</v>
      </c>
      <c r="H273" s="2" t="s">
        <v>26</v>
      </c>
      <c r="I273" s="2">
        <v>1</v>
      </c>
      <c r="J273" s="4" t="s">
        <v>32</v>
      </c>
      <c r="K273" s="2" t="s">
        <v>22</v>
      </c>
      <c r="L273" s="2">
        <v>28</v>
      </c>
      <c r="M273" t="str" cm="1">
        <f t="array" ref="M273">_xlfn.IFS(L273&lt;=35,"YOUNG_ADULTS",L273&lt;=55,"MIDDLE_AGED",L273&gt;55,"OLD-AGED")</f>
        <v>YOUNG_ADULTS</v>
      </c>
      <c r="O273" t="str" cm="1">
        <f t="array" ref="O273">_xlfn.IFS(D273&lt;=50000,"low income",D273&lt;=100000,"Mid income",D273&gt;100000,"High income")</f>
        <v>low income</v>
      </c>
      <c r="P273" t="str" cm="1">
        <f t="array" ref="P273">_xlfn.IFS(E273&lt;=2,"&lt;=2",E273&gt;2,"&gt;2")</f>
        <v>&lt;=2</v>
      </c>
    </row>
    <row r="274" spans="1:16">
      <c r="A274" s="2">
        <v>24061</v>
      </c>
      <c r="B274" s="2" t="s">
        <v>16</v>
      </c>
      <c r="C274" s="2" t="s">
        <v>16</v>
      </c>
      <c r="D274" s="6">
        <v>10000</v>
      </c>
      <c r="E274" s="2">
        <v>4</v>
      </c>
      <c r="F274" s="2" t="s">
        <v>35</v>
      </c>
      <c r="G274" s="2" t="s">
        <v>31</v>
      </c>
      <c r="H274" s="2" t="s">
        <v>20</v>
      </c>
      <c r="I274" s="2">
        <v>1</v>
      </c>
      <c r="J274" s="4" t="s">
        <v>21</v>
      </c>
      <c r="K274" s="2" t="s">
        <v>22</v>
      </c>
      <c r="L274" s="2">
        <v>40</v>
      </c>
      <c r="M274" t="str" cm="1">
        <f t="array" ref="M274">_xlfn.IFS(L274&lt;=35,"YOUNG_ADULTS",L274&lt;=55,"MIDDLE_AGED",L274&gt;55,"OLD-AGED")</f>
        <v>MIDDLE_AGED</v>
      </c>
      <c r="N274" s="2" t="s">
        <v>20</v>
      </c>
      <c r="O274" t="str" cm="1">
        <f t="array" ref="O274">_xlfn.IFS(D274&lt;=50000,"low income",D274&lt;=100000,"Mid income",D274&gt;100000,"High income")</f>
        <v>low income</v>
      </c>
      <c r="P274" t="str" cm="1">
        <f t="array" ref="P274">_xlfn.IFS(E274&lt;=2,"&lt;=2",E274&gt;2,"&gt;2")</f>
        <v>&gt;2</v>
      </c>
    </row>
    <row r="275" spans="1:16">
      <c r="A275" s="2">
        <v>26879</v>
      </c>
      <c r="B275" s="2" t="s">
        <v>28</v>
      </c>
      <c r="C275" s="2" t="s">
        <v>17</v>
      </c>
      <c r="D275" s="6">
        <v>20000</v>
      </c>
      <c r="E275" s="2">
        <v>0</v>
      </c>
      <c r="F275" s="2" t="s">
        <v>33</v>
      </c>
      <c r="G275" s="2" t="s">
        <v>31</v>
      </c>
      <c r="H275" s="2" t="s">
        <v>26</v>
      </c>
      <c r="I275" s="2">
        <v>1</v>
      </c>
      <c r="J275" s="4" t="s">
        <v>27</v>
      </c>
      <c r="K275" s="2" t="s">
        <v>22</v>
      </c>
      <c r="L275" s="2">
        <v>30</v>
      </c>
      <c r="M275" t="str" cm="1">
        <f t="array" ref="M275">_xlfn.IFS(L275&lt;=35,"YOUNG_ADULTS",L275&lt;=55,"MIDDLE_AGED",L275&gt;55,"OLD-AGED")</f>
        <v>YOUNG_ADULTS</v>
      </c>
      <c r="O275" t="str" cm="1">
        <f t="array" ref="O275">_xlfn.IFS(D275&lt;=50000,"low income",D275&lt;=100000,"Mid income",D275&gt;100000,"High income")</f>
        <v>low income</v>
      </c>
      <c r="P275" t="str" cm="1">
        <f t="array" ref="P275">_xlfn.IFS(E275&lt;=2,"&lt;=2",E275&gt;2,"&gt;2")</f>
        <v>&lt;=2</v>
      </c>
    </row>
    <row r="276" spans="1:16">
      <c r="A276" s="2">
        <v>12284</v>
      </c>
      <c r="B276" s="2" t="s">
        <v>16</v>
      </c>
      <c r="C276" s="2" t="s">
        <v>17</v>
      </c>
      <c r="D276" s="6">
        <v>30000</v>
      </c>
      <c r="E276" s="2">
        <v>0</v>
      </c>
      <c r="F276" s="2" t="s">
        <v>18</v>
      </c>
      <c r="G276" s="2" t="s">
        <v>24</v>
      </c>
      <c r="H276" s="2" t="s">
        <v>26</v>
      </c>
      <c r="I276" s="2">
        <v>0</v>
      </c>
      <c r="J276" s="4" t="s">
        <v>21</v>
      </c>
      <c r="K276" s="2" t="s">
        <v>22</v>
      </c>
      <c r="L276" s="2">
        <v>36</v>
      </c>
      <c r="M276" t="str" cm="1">
        <f t="array" ref="M276">_xlfn.IFS(L276&lt;=35,"YOUNG_ADULTS",L276&lt;=55,"MIDDLE_AGED",L276&gt;55,"OLD-AGED")</f>
        <v>MIDDLE_AGED</v>
      </c>
      <c r="N276" s="2" t="s">
        <v>20</v>
      </c>
      <c r="O276" t="str" cm="1">
        <f t="array" ref="O276">_xlfn.IFS(D276&lt;=50000,"low income",D276&lt;=100000,"Mid income",D276&gt;100000,"High income")</f>
        <v>low income</v>
      </c>
      <c r="P276" t="str" cm="1">
        <f t="array" ref="P276">_xlfn.IFS(E276&lt;=2,"&lt;=2",E276&gt;2,"&gt;2")</f>
        <v>&lt;=2</v>
      </c>
    </row>
    <row r="277" spans="1:16">
      <c r="A277" s="2">
        <v>26654</v>
      </c>
      <c r="B277" s="2" t="s">
        <v>16</v>
      </c>
      <c r="C277" s="2" t="s">
        <v>17</v>
      </c>
      <c r="D277" s="6">
        <v>90000</v>
      </c>
      <c r="E277" s="2">
        <v>1</v>
      </c>
      <c r="F277" s="2" t="s">
        <v>37</v>
      </c>
      <c r="G277" s="2" t="s">
        <v>34</v>
      </c>
      <c r="H277" s="2" t="s">
        <v>20</v>
      </c>
      <c r="I277" s="2">
        <v>0</v>
      </c>
      <c r="J277" s="4" t="s">
        <v>21</v>
      </c>
      <c r="K277" s="2" t="s">
        <v>30</v>
      </c>
      <c r="L277" s="2">
        <v>37</v>
      </c>
      <c r="M277" t="str" cm="1">
        <f t="array" ref="M277">_xlfn.IFS(L277&lt;=35,"YOUNG_ADULTS",L277&lt;=55,"MIDDLE_AGED",L277&gt;55,"OLD-AGED")</f>
        <v>MIDDLE_AGED</v>
      </c>
      <c r="N277" s="2" t="s">
        <v>20</v>
      </c>
      <c r="O277" t="str" cm="1">
        <f t="array" ref="O277">_xlfn.IFS(D277&lt;=50000,"low income",D277&lt;=100000,"Mid income",D277&gt;100000,"High income")</f>
        <v>Mid income</v>
      </c>
      <c r="P277" t="str" cm="1">
        <f t="array" ref="P277">_xlfn.IFS(E277&lt;=2,"&lt;=2",E277&gt;2,"&gt;2")</f>
        <v>&lt;=2</v>
      </c>
    </row>
    <row r="278" spans="1:16">
      <c r="A278" s="2">
        <v>14545</v>
      </c>
      <c r="B278" s="2" t="s">
        <v>16</v>
      </c>
      <c r="C278" s="2" t="s">
        <v>17</v>
      </c>
      <c r="D278" s="6">
        <v>10000</v>
      </c>
      <c r="E278" s="2">
        <v>2</v>
      </c>
      <c r="F278" s="2" t="s">
        <v>23</v>
      </c>
      <c r="G278" s="2" t="s">
        <v>31</v>
      </c>
      <c r="H278" s="2" t="s">
        <v>20</v>
      </c>
      <c r="I278" s="2">
        <v>0</v>
      </c>
      <c r="J278" s="4" t="s">
        <v>32</v>
      </c>
      <c r="K278" s="2" t="s">
        <v>22</v>
      </c>
      <c r="L278" s="2">
        <v>49</v>
      </c>
      <c r="M278" t="str" cm="1">
        <f t="array" ref="M278">_xlfn.IFS(L278&lt;=35,"YOUNG_ADULTS",L278&lt;=55,"MIDDLE_AGED",L278&gt;55,"OLD-AGED")</f>
        <v>MIDDLE_AGED</v>
      </c>
      <c r="O278" t="str" cm="1">
        <f t="array" ref="O278">_xlfn.IFS(D278&lt;=50000,"low income",D278&lt;=100000,"Mid income",D278&gt;100000,"High income")</f>
        <v>low income</v>
      </c>
      <c r="P278" t="str" cm="1">
        <f t="array" ref="P278">_xlfn.IFS(E278&lt;=2,"&lt;=2",E278&gt;2,"&gt;2")</f>
        <v>&lt;=2</v>
      </c>
    </row>
    <row r="279" spans="1:16">
      <c r="A279" s="2">
        <v>24201</v>
      </c>
      <c r="B279" s="2" t="s">
        <v>16</v>
      </c>
      <c r="C279" s="2" t="s">
        <v>17</v>
      </c>
      <c r="D279" s="6">
        <v>10000</v>
      </c>
      <c r="E279" s="2">
        <v>2</v>
      </c>
      <c r="F279" s="2" t="s">
        <v>33</v>
      </c>
      <c r="G279" s="2" t="s">
        <v>31</v>
      </c>
      <c r="H279" s="2" t="s">
        <v>20</v>
      </c>
      <c r="I279" s="2">
        <v>0</v>
      </c>
      <c r="J279" s="4" t="s">
        <v>21</v>
      </c>
      <c r="K279" s="2" t="s">
        <v>22</v>
      </c>
      <c r="L279" s="2">
        <v>37</v>
      </c>
      <c r="M279" t="str" cm="1">
        <f t="array" ref="M279">_xlfn.IFS(L279&lt;=35,"YOUNG_ADULTS",L279&lt;=55,"MIDDLE_AGED",L279&gt;55,"OLD-AGED")</f>
        <v>MIDDLE_AGED</v>
      </c>
      <c r="N279" s="2" t="s">
        <v>20</v>
      </c>
      <c r="O279" t="str" cm="1">
        <f t="array" ref="O279">_xlfn.IFS(D279&lt;=50000,"low income",D279&lt;=100000,"Mid income",D279&gt;100000,"High income")</f>
        <v>low income</v>
      </c>
      <c r="P279" t="str" cm="1">
        <f t="array" ref="P279">_xlfn.IFS(E279&lt;=2,"&lt;=2",E279&gt;2,"&gt;2")</f>
        <v>&lt;=2</v>
      </c>
    </row>
    <row r="280" spans="1:16">
      <c r="A280" s="2">
        <v>20625</v>
      </c>
      <c r="B280" s="2" t="s">
        <v>16</v>
      </c>
      <c r="C280" s="2" t="s">
        <v>16</v>
      </c>
      <c r="D280" s="6">
        <v>100000</v>
      </c>
      <c r="E280" s="2">
        <v>0</v>
      </c>
      <c r="F280" s="2" t="s">
        <v>33</v>
      </c>
      <c r="G280" s="2" t="s">
        <v>34</v>
      </c>
      <c r="H280" s="2" t="s">
        <v>20</v>
      </c>
      <c r="I280" s="2">
        <v>3</v>
      </c>
      <c r="J280" s="4" t="s">
        <v>36</v>
      </c>
      <c r="K280" s="2" t="s">
        <v>30</v>
      </c>
      <c r="L280" s="2">
        <v>35</v>
      </c>
      <c r="M280" t="str" cm="1">
        <f t="array" ref="M280">_xlfn.IFS(L280&lt;=35,"YOUNG_ADULTS",L280&lt;=55,"MIDDLE_AGED",L280&gt;55,"OLD-AGED")</f>
        <v>YOUNG_ADULTS</v>
      </c>
      <c r="N280" s="2" t="s">
        <v>20</v>
      </c>
      <c r="O280" t="str" cm="1">
        <f t="array" ref="O280">_xlfn.IFS(D280&lt;=50000,"low income",D280&lt;=100000,"Mid income",D280&gt;100000,"High income")</f>
        <v>Mid income</v>
      </c>
      <c r="P280" t="str" cm="1">
        <f t="array" ref="P280">_xlfn.IFS(E280&lt;=2,"&lt;=2",E280&gt;2,"&gt;2")</f>
        <v>&lt;=2</v>
      </c>
    </row>
    <row r="281" spans="1:16">
      <c r="A281" s="2">
        <v>16390</v>
      </c>
      <c r="B281" s="2" t="s">
        <v>28</v>
      </c>
      <c r="C281" s="2" t="s">
        <v>16</v>
      </c>
      <c r="D281" s="6">
        <v>30000</v>
      </c>
      <c r="E281" s="2">
        <v>1</v>
      </c>
      <c r="F281" s="2" t="s">
        <v>18</v>
      </c>
      <c r="G281" s="2" t="s">
        <v>24</v>
      </c>
      <c r="H281" s="2" t="s">
        <v>26</v>
      </c>
      <c r="I281" s="2">
        <v>0</v>
      </c>
      <c r="J281" s="4" t="s">
        <v>21</v>
      </c>
      <c r="K281" s="2" t="s">
        <v>22</v>
      </c>
      <c r="L281" s="2">
        <v>38</v>
      </c>
      <c r="M281" t="str" cm="1">
        <f t="array" ref="M281">_xlfn.IFS(L281&lt;=35,"YOUNG_ADULTS",L281&lt;=55,"MIDDLE_AGED",L281&gt;55,"OLD-AGED")</f>
        <v>MIDDLE_AGED</v>
      </c>
      <c r="N281" s="2" t="s">
        <v>20</v>
      </c>
      <c r="O281" t="str" cm="1">
        <f t="array" ref="O281">_xlfn.IFS(D281&lt;=50000,"low income",D281&lt;=100000,"Mid income",D281&gt;100000,"High income")</f>
        <v>low income</v>
      </c>
      <c r="P281" t="str" cm="1">
        <f t="array" ref="P281">_xlfn.IFS(E281&lt;=2,"&lt;=2",E281&gt;2,"&gt;2")</f>
        <v>&lt;=2</v>
      </c>
    </row>
    <row r="282" spans="1:16">
      <c r="A282" s="2">
        <v>14804</v>
      </c>
      <c r="B282" s="2" t="s">
        <v>28</v>
      </c>
      <c r="C282" s="2" t="s">
        <v>17</v>
      </c>
      <c r="D282" s="6">
        <v>10000</v>
      </c>
      <c r="E282" s="2">
        <v>3</v>
      </c>
      <c r="F282" s="2" t="s">
        <v>35</v>
      </c>
      <c r="G282" s="2" t="s">
        <v>31</v>
      </c>
      <c r="H282" s="2" t="s">
        <v>20</v>
      </c>
      <c r="I282" s="2">
        <v>2</v>
      </c>
      <c r="J282" s="4" t="s">
        <v>21</v>
      </c>
      <c r="K282" s="2" t="s">
        <v>22</v>
      </c>
      <c r="L282" s="2">
        <v>43</v>
      </c>
      <c r="M282" t="str" cm="1">
        <f t="array" ref="M282">_xlfn.IFS(L282&lt;=35,"YOUNG_ADULTS",L282&lt;=55,"MIDDLE_AGED",L282&gt;55,"OLD-AGED")</f>
        <v>MIDDLE_AGED</v>
      </c>
      <c r="O282" t="str" cm="1">
        <f t="array" ref="O282">_xlfn.IFS(D282&lt;=50000,"low income",D282&lt;=100000,"Mid income",D282&gt;100000,"High income")</f>
        <v>low income</v>
      </c>
      <c r="P282" t="str" cm="1">
        <f t="array" ref="P282">_xlfn.IFS(E282&lt;=2,"&lt;=2",E282&gt;2,"&gt;2")</f>
        <v>&gt;2</v>
      </c>
    </row>
    <row r="283" spans="1:16">
      <c r="A283" s="2">
        <v>12629</v>
      </c>
      <c r="B283" s="2" t="s">
        <v>28</v>
      </c>
      <c r="C283" s="2" t="s">
        <v>16</v>
      </c>
      <c r="D283" s="6">
        <v>20000</v>
      </c>
      <c r="E283" s="2">
        <v>1</v>
      </c>
      <c r="F283" s="2" t="s">
        <v>23</v>
      </c>
      <c r="G283" s="2" t="s">
        <v>31</v>
      </c>
      <c r="H283" s="2" t="s">
        <v>26</v>
      </c>
      <c r="I283" s="2">
        <v>0</v>
      </c>
      <c r="J283" s="4" t="s">
        <v>21</v>
      </c>
      <c r="K283" s="2" t="s">
        <v>22</v>
      </c>
      <c r="L283" s="2">
        <v>37</v>
      </c>
      <c r="M283" t="str" cm="1">
        <f t="array" ref="M283">_xlfn.IFS(L283&lt;=35,"YOUNG_ADULTS",L283&lt;=55,"MIDDLE_AGED",L283&gt;55,"OLD-AGED")</f>
        <v>MIDDLE_AGED</v>
      </c>
      <c r="O283" t="str" cm="1">
        <f t="array" ref="O283">_xlfn.IFS(D283&lt;=50000,"low income",D283&lt;=100000,"Mid income",D283&gt;100000,"High income")</f>
        <v>low income</v>
      </c>
      <c r="P283" t="str" cm="1">
        <f t="array" ref="P283">_xlfn.IFS(E283&lt;=2,"&lt;=2",E283&gt;2,"&gt;2")</f>
        <v>&lt;=2</v>
      </c>
    </row>
    <row r="284" spans="1:16">
      <c r="A284" s="2">
        <v>14696</v>
      </c>
      <c r="B284" s="2" t="s">
        <v>28</v>
      </c>
      <c r="C284" s="2" t="s">
        <v>16</v>
      </c>
      <c r="D284" s="6">
        <v>10000</v>
      </c>
      <c r="E284" s="2">
        <v>0</v>
      </c>
      <c r="F284" s="2" t="s">
        <v>35</v>
      </c>
      <c r="G284" s="2" t="s">
        <v>31</v>
      </c>
      <c r="H284" s="2" t="s">
        <v>26</v>
      </c>
      <c r="I284" s="2">
        <v>2</v>
      </c>
      <c r="J284" s="4" t="s">
        <v>21</v>
      </c>
      <c r="K284" s="2" t="s">
        <v>22</v>
      </c>
      <c r="L284" s="2">
        <v>34</v>
      </c>
      <c r="M284" t="str" cm="1">
        <f t="array" ref="M284">_xlfn.IFS(L284&lt;=35,"YOUNG_ADULTS",L284&lt;=55,"MIDDLE_AGED",L284&gt;55,"OLD-AGED")</f>
        <v>YOUNG_ADULTS</v>
      </c>
      <c r="O284" t="str" cm="1">
        <f t="array" ref="O284">_xlfn.IFS(D284&lt;=50000,"low income",D284&lt;=100000,"Mid income",D284&gt;100000,"High income")</f>
        <v>low income</v>
      </c>
      <c r="P284" t="str" cm="1">
        <f t="array" ref="P284">_xlfn.IFS(E284&lt;=2,"&lt;=2",E284&gt;2,"&gt;2")</f>
        <v>&lt;=2</v>
      </c>
    </row>
    <row r="285" spans="1:16">
      <c r="A285" s="2">
        <v>22005</v>
      </c>
      <c r="B285" s="2" t="s">
        <v>16</v>
      </c>
      <c r="C285" s="2" t="s">
        <v>17</v>
      </c>
      <c r="D285" s="6">
        <v>70000</v>
      </c>
      <c r="E285" s="2">
        <v>5</v>
      </c>
      <c r="F285" s="2" t="s">
        <v>23</v>
      </c>
      <c r="G285" s="2" t="s">
        <v>19</v>
      </c>
      <c r="H285" s="2" t="s">
        <v>26</v>
      </c>
      <c r="I285" s="2">
        <v>3</v>
      </c>
      <c r="J285" s="4" t="s">
        <v>29</v>
      </c>
      <c r="K285" s="2" t="s">
        <v>30</v>
      </c>
      <c r="L285" s="2">
        <v>46</v>
      </c>
      <c r="M285" t="str" cm="1">
        <f t="array" ref="M285">_xlfn.IFS(L285&lt;=35,"YOUNG_ADULTS",L285&lt;=55,"MIDDLE_AGED",L285&gt;55,"OLD-AGED")</f>
        <v>MIDDLE_AGED</v>
      </c>
      <c r="O285" t="str" cm="1">
        <f t="array" ref="O285">_xlfn.IFS(D285&lt;=50000,"low income",D285&lt;=100000,"Mid income",D285&gt;100000,"High income")</f>
        <v>Mid income</v>
      </c>
      <c r="P285" t="str" cm="1">
        <f t="array" ref="P285">_xlfn.IFS(E285&lt;=2,"&lt;=2",E285&gt;2,"&gt;2")</f>
        <v>&gt;2</v>
      </c>
    </row>
    <row r="286" spans="1:16">
      <c r="A286" s="2">
        <v>14544</v>
      </c>
      <c r="B286" s="2" t="s">
        <v>28</v>
      </c>
      <c r="C286" s="2" t="s">
        <v>16</v>
      </c>
      <c r="D286" s="6">
        <v>10000</v>
      </c>
      <c r="E286" s="2">
        <v>1</v>
      </c>
      <c r="F286" s="2" t="s">
        <v>23</v>
      </c>
      <c r="G286" s="2" t="s">
        <v>31</v>
      </c>
      <c r="H286" s="2" t="s">
        <v>20</v>
      </c>
      <c r="I286" s="2">
        <v>0</v>
      </c>
      <c r="J286" s="4" t="s">
        <v>21</v>
      </c>
      <c r="K286" s="2" t="s">
        <v>22</v>
      </c>
      <c r="L286" s="2">
        <v>49</v>
      </c>
      <c r="M286" t="str" cm="1">
        <f t="array" ref="M286">_xlfn.IFS(L286&lt;=35,"YOUNG_ADULTS",L286&lt;=55,"MIDDLE_AGED",L286&gt;55,"OLD-AGED")</f>
        <v>MIDDLE_AGED</v>
      </c>
      <c r="O286" t="str" cm="1">
        <f t="array" ref="O286">_xlfn.IFS(D286&lt;=50000,"low income",D286&lt;=100000,"Mid income",D286&gt;100000,"High income")</f>
        <v>low income</v>
      </c>
      <c r="P286" t="str" cm="1">
        <f t="array" ref="P286">_xlfn.IFS(E286&lt;=2,"&lt;=2",E286&gt;2,"&gt;2")</f>
        <v>&lt;=2</v>
      </c>
    </row>
    <row r="287" spans="1:16">
      <c r="A287" s="2">
        <v>14312</v>
      </c>
      <c r="B287" s="2" t="s">
        <v>16</v>
      </c>
      <c r="C287" s="2" t="s">
        <v>17</v>
      </c>
      <c r="D287" s="6">
        <v>60000</v>
      </c>
      <c r="E287" s="2">
        <v>1</v>
      </c>
      <c r="F287" s="2" t="s">
        <v>23</v>
      </c>
      <c r="G287" s="2" t="s">
        <v>19</v>
      </c>
      <c r="H287" s="2" t="s">
        <v>20</v>
      </c>
      <c r="I287" s="2">
        <v>1</v>
      </c>
      <c r="J287" s="4" t="s">
        <v>29</v>
      </c>
      <c r="K287" s="2" t="s">
        <v>30</v>
      </c>
      <c r="L287" s="2">
        <v>45</v>
      </c>
      <c r="M287" t="str" cm="1">
        <f t="array" ref="M287">_xlfn.IFS(L287&lt;=35,"YOUNG_ADULTS",L287&lt;=55,"MIDDLE_AGED",L287&gt;55,"OLD-AGED")</f>
        <v>MIDDLE_AGED</v>
      </c>
      <c r="O287" t="str" cm="1">
        <f t="array" ref="O287">_xlfn.IFS(D287&lt;=50000,"low income",D287&lt;=100000,"Mid income",D287&gt;100000,"High income")</f>
        <v>Mid income</v>
      </c>
      <c r="P287" t="str" cm="1">
        <f t="array" ref="P287">_xlfn.IFS(E287&lt;=2,"&lt;=2",E287&gt;2,"&gt;2")</f>
        <v>&lt;=2</v>
      </c>
    </row>
    <row r="288" spans="1:16">
      <c r="A288" s="2">
        <v>29120</v>
      </c>
      <c r="B288" s="2" t="s">
        <v>28</v>
      </c>
      <c r="C288" s="2" t="s">
        <v>17</v>
      </c>
      <c r="D288" s="6">
        <v>100000</v>
      </c>
      <c r="E288" s="2">
        <v>1</v>
      </c>
      <c r="F288" s="2" t="s">
        <v>18</v>
      </c>
      <c r="G288" s="2" t="s">
        <v>34</v>
      </c>
      <c r="H288" s="2" t="s">
        <v>20</v>
      </c>
      <c r="I288" s="2">
        <v>4</v>
      </c>
      <c r="J288" s="4" t="s">
        <v>27</v>
      </c>
      <c r="K288" s="2" t="s">
        <v>30</v>
      </c>
      <c r="L288" s="2">
        <v>48</v>
      </c>
      <c r="M288" t="str" cm="1">
        <f t="array" ref="M288">_xlfn.IFS(L288&lt;=35,"YOUNG_ADULTS",L288&lt;=55,"MIDDLE_AGED",L288&gt;55,"OLD-AGED")</f>
        <v>MIDDLE_AGED</v>
      </c>
      <c r="O288" t="str" cm="1">
        <f t="array" ref="O288">_xlfn.IFS(D288&lt;=50000,"low income",D288&lt;=100000,"Mid income",D288&gt;100000,"High income")</f>
        <v>Mid income</v>
      </c>
      <c r="P288" t="str" cm="1">
        <f t="array" ref="P288">_xlfn.IFS(E288&lt;=2,"&lt;=2",E288&gt;2,"&gt;2")</f>
        <v>&lt;=2</v>
      </c>
    </row>
    <row r="289" spans="1:16">
      <c r="A289" s="2">
        <v>24187</v>
      </c>
      <c r="B289" s="2" t="s">
        <v>28</v>
      </c>
      <c r="C289" s="2" t="s">
        <v>17</v>
      </c>
      <c r="D289" s="6">
        <v>30000</v>
      </c>
      <c r="E289" s="2">
        <v>3</v>
      </c>
      <c r="F289" s="2" t="s">
        <v>37</v>
      </c>
      <c r="G289" s="2" t="s">
        <v>24</v>
      </c>
      <c r="H289" s="2" t="s">
        <v>26</v>
      </c>
      <c r="I289" s="2">
        <v>0</v>
      </c>
      <c r="J289" s="4" t="s">
        <v>21</v>
      </c>
      <c r="K289" s="2" t="s">
        <v>22</v>
      </c>
      <c r="L289" s="2">
        <v>46</v>
      </c>
      <c r="M289" t="str" cm="1">
        <f t="array" ref="M289">_xlfn.IFS(L289&lt;=35,"YOUNG_ADULTS",L289&lt;=55,"MIDDLE_AGED",L289&gt;55,"OLD-AGED")</f>
        <v>MIDDLE_AGED</v>
      </c>
      <c r="N289" s="2" t="s">
        <v>20</v>
      </c>
      <c r="O289" t="str" cm="1">
        <f t="array" ref="O289">_xlfn.IFS(D289&lt;=50000,"low income",D289&lt;=100000,"Mid income",D289&gt;100000,"High income")</f>
        <v>low income</v>
      </c>
      <c r="P289" t="str" cm="1">
        <f t="array" ref="P289">_xlfn.IFS(E289&lt;=2,"&lt;=2",E289&gt;2,"&gt;2")</f>
        <v>&gt;2</v>
      </c>
    </row>
    <row r="290" spans="1:16">
      <c r="A290" s="2">
        <v>15758</v>
      </c>
      <c r="B290" s="2" t="s">
        <v>16</v>
      </c>
      <c r="C290" s="2" t="s">
        <v>16</v>
      </c>
      <c r="D290" s="6">
        <v>130000</v>
      </c>
      <c r="E290" s="2">
        <v>0</v>
      </c>
      <c r="F290" s="2" t="s">
        <v>37</v>
      </c>
      <c r="G290" s="2" t="s">
        <v>34</v>
      </c>
      <c r="H290" s="2" t="s">
        <v>20</v>
      </c>
      <c r="I290" s="2">
        <v>0</v>
      </c>
      <c r="J290" s="4" t="s">
        <v>29</v>
      </c>
      <c r="K290" s="2" t="s">
        <v>30</v>
      </c>
      <c r="L290" s="2">
        <v>48</v>
      </c>
      <c r="M290" t="str" cm="1">
        <f t="array" ref="M290">_xlfn.IFS(L290&lt;=35,"YOUNG_ADULTS",L290&lt;=55,"MIDDLE_AGED",L290&gt;55,"OLD-AGED")</f>
        <v>MIDDLE_AGED</v>
      </c>
      <c r="O290" t="str" cm="1">
        <f t="array" ref="O290">_xlfn.IFS(D290&lt;=50000,"low income",D290&lt;=100000,"Mid income",D290&gt;100000,"High income")</f>
        <v>High income</v>
      </c>
      <c r="P290" t="str" cm="1">
        <f t="array" ref="P290">_xlfn.IFS(E290&lt;=2,"&lt;=2",E290&gt;2,"&gt;2")</f>
        <v>&lt;=2</v>
      </c>
    </row>
    <row r="291" spans="1:16">
      <c r="A291" s="2">
        <v>29094</v>
      </c>
      <c r="B291" s="2" t="s">
        <v>16</v>
      </c>
      <c r="C291" s="2" t="s">
        <v>16</v>
      </c>
      <c r="D291" s="6">
        <v>30000</v>
      </c>
      <c r="E291" s="2">
        <v>3</v>
      </c>
      <c r="F291" s="2" t="s">
        <v>33</v>
      </c>
      <c r="G291" s="2" t="s">
        <v>19</v>
      </c>
      <c r="H291" s="2" t="s">
        <v>20</v>
      </c>
      <c r="I291" s="2">
        <v>2</v>
      </c>
      <c r="J291" s="4" t="s">
        <v>29</v>
      </c>
      <c r="K291" s="2" t="s">
        <v>30</v>
      </c>
      <c r="L291" s="2">
        <v>54</v>
      </c>
      <c r="M291" t="str" cm="1">
        <f t="array" ref="M291">_xlfn.IFS(L291&lt;=35,"YOUNG_ADULTS",L291&lt;=55,"MIDDLE_AGED",L291&gt;55,"OLD-AGED")</f>
        <v>MIDDLE_AGED</v>
      </c>
      <c r="N291" s="2" t="s">
        <v>20</v>
      </c>
      <c r="O291" t="str" cm="1">
        <f t="array" ref="O291">_xlfn.IFS(D291&lt;=50000,"low income",D291&lt;=100000,"Mid income",D291&gt;100000,"High income")</f>
        <v>low income</v>
      </c>
      <c r="P291" t="str" cm="1">
        <f t="array" ref="P291">_xlfn.IFS(E291&lt;=2,"&lt;=2",E291&gt;2,"&gt;2")</f>
        <v>&gt;2</v>
      </c>
    </row>
    <row r="292" spans="1:16">
      <c r="A292" s="2">
        <v>28319</v>
      </c>
      <c r="B292" s="2" t="s">
        <v>28</v>
      </c>
      <c r="C292" s="2" t="s">
        <v>17</v>
      </c>
      <c r="D292" s="6">
        <v>60000</v>
      </c>
      <c r="E292" s="2">
        <v>1</v>
      </c>
      <c r="F292" s="2" t="s">
        <v>23</v>
      </c>
      <c r="G292" s="2" t="s">
        <v>19</v>
      </c>
      <c r="H292" s="2" t="s">
        <v>26</v>
      </c>
      <c r="I292" s="2">
        <v>1</v>
      </c>
      <c r="J292" s="4" t="s">
        <v>21</v>
      </c>
      <c r="K292" s="2" t="s">
        <v>30</v>
      </c>
      <c r="L292" s="2">
        <v>46</v>
      </c>
      <c r="M292" t="str" cm="1">
        <f t="array" ref="M292">_xlfn.IFS(L292&lt;=35,"YOUNG_ADULTS",L292&lt;=55,"MIDDLE_AGED",L292&gt;55,"OLD-AGED")</f>
        <v>MIDDLE_AGED</v>
      </c>
      <c r="N292" s="2" t="s">
        <v>20</v>
      </c>
      <c r="O292" t="str" cm="1">
        <f t="array" ref="O292">_xlfn.IFS(D292&lt;=50000,"low income",D292&lt;=100000,"Mid income",D292&gt;100000,"High income")</f>
        <v>Mid income</v>
      </c>
      <c r="P292" t="str" cm="1">
        <f t="array" ref="P292">_xlfn.IFS(E292&lt;=2,"&lt;=2",E292&gt;2,"&gt;2")</f>
        <v>&lt;=2</v>
      </c>
    </row>
    <row r="293" spans="1:16">
      <c r="A293" s="2">
        <v>16406</v>
      </c>
      <c r="B293" s="2" t="s">
        <v>16</v>
      </c>
      <c r="C293" s="2" t="s">
        <v>16</v>
      </c>
      <c r="D293" s="6">
        <v>40000</v>
      </c>
      <c r="E293" s="2">
        <v>0</v>
      </c>
      <c r="F293" s="2" t="s">
        <v>18</v>
      </c>
      <c r="G293" s="2" t="s">
        <v>24</v>
      </c>
      <c r="H293" s="2" t="s">
        <v>26</v>
      </c>
      <c r="I293" s="2">
        <v>0</v>
      </c>
      <c r="J293" s="4" t="s">
        <v>21</v>
      </c>
      <c r="K293" s="2" t="s">
        <v>22</v>
      </c>
      <c r="L293" s="2">
        <v>38</v>
      </c>
      <c r="M293" t="str" cm="1">
        <f t="array" ref="M293">_xlfn.IFS(L293&lt;=35,"YOUNG_ADULTS",L293&lt;=55,"MIDDLE_AGED",L293&gt;55,"OLD-AGED")</f>
        <v>MIDDLE_AGED</v>
      </c>
      <c r="N293" s="2" t="s">
        <v>20</v>
      </c>
      <c r="O293" t="str" cm="1">
        <f t="array" ref="O293">_xlfn.IFS(D293&lt;=50000,"low income",D293&lt;=100000,"Mid income",D293&gt;100000,"High income")</f>
        <v>low income</v>
      </c>
      <c r="P293" t="str" cm="1">
        <f t="array" ref="P293">_xlfn.IFS(E293&lt;=2,"&lt;=2",E293&gt;2,"&gt;2")</f>
        <v>&lt;=2</v>
      </c>
    </row>
    <row r="294" spans="1:16">
      <c r="A294" s="2">
        <v>20923</v>
      </c>
      <c r="B294" s="2" t="s">
        <v>16</v>
      </c>
      <c r="C294" s="2" t="s">
        <v>17</v>
      </c>
      <c r="D294" s="6">
        <v>40000</v>
      </c>
      <c r="E294" s="2">
        <v>1</v>
      </c>
      <c r="F294" s="2" t="s">
        <v>18</v>
      </c>
      <c r="G294" s="2" t="s">
        <v>19</v>
      </c>
      <c r="H294" s="2" t="s">
        <v>20</v>
      </c>
      <c r="I294" s="2">
        <v>0</v>
      </c>
      <c r="J294" s="4" t="s">
        <v>21</v>
      </c>
      <c r="K294" s="2" t="s">
        <v>22</v>
      </c>
      <c r="L294" s="2">
        <v>42</v>
      </c>
      <c r="M294" t="str" cm="1">
        <f t="array" ref="M294">_xlfn.IFS(L294&lt;=35,"YOUNG_ADULTS",L294&lt;=55,"MIDDLE_AGED",L294&gt;55,"OLD-AGED")</f>
        <v>MIDDLE_AGED</v>
      </c>
      <c r="N294" s="2" t="s">
        <v>20</v>
      </c>
      <c r="O294" t="str" cm="1">
        <f t="array" ref="O294">_xlfn.IFS(D294&lt;=50000,"low income",D294&lt;=100000,"Mid income",D294&gt;100000,"High income")</f>
        <v>low income</v>
      </c>
      <c r="P294" t="str" cm="1">
        <f t="array" ref="P294">_xlfn.IFS(E294&lt;=2,"&lt;=2",E294&gt;2,"&gt;2")</f>
        <v>&lt;=2</v>
      </c>
    </row>
    <row r="295" spans="1:16">
      <c r="A295" s="2">
        <v>11378</v>
      </c>
      <c r="B295" s="2" t="s">
        <v>28</v>
      </c>
      <c r="C295" s="2" t="s">
        <v>17</v>
      </c>
      <c r="D295" s="6">
        <v>10000</v>
      </c>
      <c r="E295" s="2">
        <v>1</v>
      </c>
      <c r="F295" s="2" t="s">
        <v>33</v>
      </c>
      <c r="G295" s="2" t="s">
        <v>31</v>
      </c>
      <c r="H295" s="2" t="s">
        <v>26</v>
      </c>
      <c r="I295" s="2">
        <v>1</v>
      </c>
      <c r="J295" s="4" t="s">
        <v>27</v>
      </c>
      <c r="K295" s="2" t="s">
        <v>22</v>
      </c>
      <c r="L295" s="2">
        <v>46</v>
      </c>
      <c r="M295" t="str" cm="1">
        <f t="array" ref="M295">_xlfn.IFS(L295&lt;=35,"YOUNG_ADULTS",L295&lt;=55,"MIDDLE_AGED",L295&gt;55,"OLD-AGED")</f>
        <v>MIDDLE_AGED</v>
      </c>
      <c r="N295" s="2" t="s">
        <v>20</v>
      </c>
      <c r="O295" t="str" cm="1">
        <f t="array" ref="O295">_xlfn.IFS(D295&lt;=50000,"low income",D295&lt;=100000,"Mid income",D295&gt;100000,"High income")</f>
        <v>low income</v>
      </c>
      <c r="P295" t="str" cm="1">
        <f t="array" ref="P295">_xlfn.IFS(E295&lt;=2,"&lt;=2",E295&gt;2,"&gt;2")</f>
        <v>&lt;=2</v>
      </c>
    </row>
    <row r="296" spans="1:16">
      <c r="A296" s="2">
        <v>20851</v>
      </c>
      <c r="B296" s="2" t="s">
        <v>28</v>
      </c>
      <c r="C296" s="2" t="s">
        <v>16</v>
      </c>
      <c r="D296" s="6">
        <v>20000</v>
      </c>
      <c r="E296" s="2">
        <v>0</v>
      </c>
      <c r="F296" s="2" t="s">
        <v>23</v>
      </c>
      <c r="G296" s="2" t="s">
        <v>31</v>
      </c>
      <c r="H296" s="2" t="s">
        <v>26</v>
      </c>
      <c r="I296" s="2">
        <v>1</v>
      </c>
      <c r="J296" s="4" t="s">
        <v>27</v>
      </c>
      <c r="K296" s="2" t="s">
        <v>22</v>
      </c>
      <c r="L296" s="2">
        <v>36</v>
      </c>
      <c r="M296" t="str" cm="1">
        <f t="array" ref="M296">_xlfn.IFS(L296&lt;=35,"YOUNG_ADULTS",L296&lt;=55,"MIDDLE_AGED",L296&gt;55,"OLD-AGED")</f>
        <v>MIDDLE_AGED</v>
      </c>
      <c r="N296" s="2" t="s">
        <v>20</v>
      </c>
      <c r="O296" t="str" cm="1">
        <f t="array" ref="O296">_xlfn.IFS(D296&lt;=50000,"low income",D296&lt;=100000,"Mid income",D296&gt;100000,"High income")</f>
        <v>low income</v>
      </c>
      <c r="P296" t="str" cm="1">
        <f t="array" ref="P296">_xlfn.IFS(E296&lt;=2,"&lt;=2",E296&gt;2,"&gt;2")</f>
        <v>&lt;=2</v>
      </c>
    </row>
    <row r="297" spans="1:16">
      <c r="A297" s="2">
        <v>21557</v>
      </c>
      <c r="B297" s="2" t="s">
        <v>28</v>
      </c>
      <c r="C297" s="2" t="s">
        <v>17</v>
      </c>
      <c r="D297" s="6">
        <v>110000</v>
      </c>
      <c r="E297" s="2">
        <v>0</v>
      </c>
      <c r="F297" s="2" t="s">
        <v>23</v>
      </c>
      <c r="G297" s="2" t="s">
        <v>34</v>
      </c>
      <c r="H297" s="2" t="s">
        <v>20</v>
      </c>
      <c r="I297" s="2">
        <v>3</v>
      </c>
      <c r="J297" s="4" t="s">
        <v>36</v>
      </c>
      <c r="K297" s="2" t="s">
        <v>30</v>
      </c>
      <c r="L297" s="2">
        <v>32</v>
      </c>
      <c r="M297" t="str" cm="1">
        <f t="array" ref="M297">_xlfn.IFS(L297&lt;=35,"YOUNG_ADULTS",L297&lt;=55,"MIDDLE_AGED",L297&gt;55,"OLD-AGED")</f>
        <v>YOUNG_ADULTS</v>
      </c>
      <c r="N297" s="2" t="s">
        <v>20</v>
      </c>
      <c r="O297" t="str" cm="1">
        <f t="array" ref="O297">_xlfn.IFS(D297&lt;=50000,"low income",D297&lt;=100000,"Mid income",D297&gt;100000,"High income")</f>
        <v>High income</v>
      </c>
      <c r="P297" t="str" cm="1">
        <f t="array" ref="P297">_xlfn.IFS(E297&lt;=2,"&lt;=2",E297&gt;2,"&gt;2")</f>
        <v>&lt;=2</v>
      </c>
    </row>
    <row r="298" spans="1:16">
      <c r="A298" s="2">
        <v>26663</v>
      </c>
      <c r="B298" s="2" t="s">
        <v>28</v>
      </c>
      <c r="C298" s="2" t="s">
        <v>17</v>
      </c>
      <c r="D298" s="6">
        <v>60000</v>
      </c>
      <c r="E298" s="2">
        <v>2</v>
      </c>
      <c r="F298" s="2" t="s">
        <v>18</v>
      </c>
      <c r="G298" s="2" t="s">
        <v>25</v>
      </c>
      <c r="H298" s="2" t="s">
        <v>26</v>
      </c>
      <c r="I298" s="2">
        <v>1</v>
      </c>
      <c r="J298" s="4" t="s">
        <v>21</v>
      </c>
      <c r="K298" s="2" t="s">
        <v>30</v>
      </c>
      <c r="L298" s="2">
        <v>39</v>
      </c>
      <c r="M298" t="str" cm="1">
        <f t="array" ref="M298">_xlfn.IFS(L298&lt;=35,"YOUNG_ADULTS",L298&lt;=55,"MIDDLE_AGED",L298&gt;55,"OLD-AGED")</f>
        <v>MIDDLE_AGED</v>
      </c>
      <c r="N298" s="2" t="s">
        <v>20</v>
      </c>
      <c r="O298" t="str" cm="1">
        <f t="array" ref="O298">_xlfn.IFS(D298&lt;=50000,"low income",D298&lt;=100000,"Mid income",D298&gt;100000,"High income")</f>
        <v>Mid income</v>
      </c>
      <c r="P298" t="str" cm="1">
        <f t="array" ref="P298">_xlfn.IFS(E298&lt;=2,"&lt;=2",E298&gt;2,"&gt;2")</f>
        <v>&lt;=2</v>
      </c>
    </row>
    <row r="299" spans="1:16">
      <c r="A299" s="2">
        <v>11896</v>
      </c>
      <c r="B299" s="2" t="s">
        <v>16</v>
      </c>
      <c r="C299" s="2" t="s">
        <v>16</v>
      </c>
      <c r="D299" s="6">
        <v>100000</v>
      </c>
      <c r="E299" s="2">
        <v>1</v>
      </c>
      <c r="F299" s="2" t="s">
        <v>37</v>
      </c>
      <c r="G299" s="2" t="s">
        <v>34</v>
      </c>
      <c r="H299" s="2" t="s">
        <v>20</v>
      </c>
      <c r="I299" s="2">
        <v>0</v>
      </c>
      <c r="J299" s="4" t="s">
        <v>27</v>
      </c>
      <c r="K299" s="2" t="s">
        <v>30</v>
      </c>
      <c r="L299" s="2">
        <v>36</v>
      </c>
      <c r="M299" t="str" cm="1">
        <f t="array" ref="M299">_xlfn.IFS(L299&lt;=35,"YOUNG_ADULTS",L299&lt;=55,"MIDDLE_AGED",L299&gt;55,"OLD-AGED")</f>
        <v>MIDDLE_AGED</v>
      </c>
      <c r="N299" s="2" t="s">
        <v>20</v>
      </c>
      <c r="O299" t="str" cm="1">
        <f t="array" ref="O299">_xlfn.IFS(D299&lt;=50000,"low income",D299&lt;=100000,"Mid income",D299&gt;100000,"High income")</f>
        <v>Mid income</v>
      </c>
      <c r="P299" t="str" cm="1">
        <f t="array" ref="P299">_xlfn.IFS(E299&lt;=2,"&lt;=2",E299&gt;2,"&gt;2")</f>
        <v>&lt;=2</v>
      </c>
    </row>
    <row r="300" spans="1:16">
      <c r="A300" s="2">
        <v>14189</v>
      </c>
      <c r="B300" s="2" t="s">
        <v>16</v>
      </c>
      <c r="C300" s="2" t="s">
        <v>17</v>
      </c>
      <c r="D300" s="6">
        <v>90000</v>
      </c>
      <c r="E300" s="2">
        <v>4</v>
      </c>
      <c r="F300" s="2" t="s">
        <v>33</v>
      </c>
      <c r="G300" s="2" t="s">
        <v>25</v>
      </c>
      <c r="H300" s="2" t="s">
        <v>26</v>
      </c>
      <c r="I300" s="2">
        <v>2</v>
      </c>
      <c r="J300" s="4" t="s">
        <v>27</v>
      </c>
      <c r="K300" s="2" t="s">
        <v>22</v>
      </c>
      <c r="L300" s="2">
        <v>54</v>
      </c>
      <c r="M300" t="str" cm="1">
        <f t="array" ref="M300">_xlfn.IFS(L300&lt;=35,"YOUNG_ADULTS",L300&lt;=55,"MIDDLE_AGED",L300&gt;55,"OLD-AGED")</f>
        <v>MIDDLE_AGED</v>
      </c>
      <c r="N300" s="2" t="s">
        <v>20</v>
      </c>
      <c r="O300" t="str" cm="1">
        <f t="array" ref="O300">_xlfn.IFS(D300&lt;=50000,"low income",D300&lt;=100000,"Mid income",D300&gt;100000,"High income")</f>
        <v>Mid income</v>
      </c>
      <c r="P300" t="str" cm="1">
        <f t="array" ref="P300">_xlfn.IFS(E300&lt;=2,"&lt;=2",E300&gt;2,"&gt;2")</f>
        <v>&gt;2</v>
      </c>
    </row>
    <row r="301" spans="1:16">
      <c r="A301" s="2">
        <v>13136</v>
      </c>
      <c r="B301" s="2" t="s">
        <v>16</v>
      </c>
      <c r="C301" s="2" t="s">
        <v>17</v>
      </c>
      <c r="D301" s="6">
        <v>30000</v>
      </c>
      <c r="E301" s="2">
        <v>2</v>
      </c>
      <c r="F301" s="2" t="s">
        <v>23</v>
      </c>
      <c r="G301" s="2" t="s">
        <v>24</v>
      </c>
      <c r="H301" s="2" t="s">
        <v>26</v>
      </c>
      <c r="I301" s="2">
        <v>2</v>
      </c>
      <c r="J301" s="4" t="s">
        <v>29</v>
      </c>
      <c r="K301" s="2" t="s">
        <v>30</v>
      </c>
      <c r="L301" s="2">
        <v>69</v>
      </c>
      <c r="M301" t="str" cm="1">
        <f t="array" ref="M301">_xlfn.IFS(L301&lt;=35,"YOUNG_ADULTS",L301&lt;=55,"MIDDLE_AGED",L301&gt;55,"OLD-AGED")</f>
        <v>OLD-AGED</v>
      </c>
      <c r="O301" t="str" cm="1">
        <f t="array" ref="O301">_xlfn.IFS(D301&lt;=50000,"low income",D301&lt;=100000,"Mid income",D301&gt;100000,"High income")</f>
        <v>low income</v>
      </c>
      <c r="P301" t="str" cm="1">
        <f t="array" ref="P301">_xlfn.IFS(E301&lt;=2,"&lt;=2",E301&gt;2,"&gt;2")</f>
        <v>&lt;=2</v>
      </c>
    </row>
    <row r="302" spans="1:16">
      <c r="A302" s="2">
        <v>25906</v>
      </c>
      <c r="B302" s="2" t="s">
        <v>28</v>
      </c>
      <c r="C302" s="2" t="s">
        <v>17</v>
      </c>
      <c r="D302" s="6">
        <v>10000</v>
      </c>
      <c r="E302" s="2">
        <v>5</v>
      </c>
      <c r="F302" s="2" t="s">
        <v>33</v>
      </c>
      <c r="G302" s="2" t="s">
        <v>19</v>
      </c>
      <c r="H302" s="2" t="s">
        <v>26</v>
      </c>
      <c r="I302" s="2">
        <v>2</v>
      </c>
      <c r="J302" s="4" t="s">
        <v>32</v>
      </c>
      <c r="K302" s="2" t="s">
        <v>30</v>
      </c>
      <c r="L302" s="2">
        <v>62</v>
      </c>
      <c r="M302" t="str" cm="1">
        <f t="array" ref="M302">_xlfn.IFS(L302&lt;=35,"YOUNG_ADULTS",L302&lt;=55,"MIDDLE_AGED",L302&gt;55,"OLD-AGED")</f>
        <v>OLD-AGED</v>
      </c>
      <c r="O302" t="str" cm="1">
        <f t="array" ref="O302">_xlfn.IFS(D302&lt;=50000,"low income",D302&lt;=100000,"Mid income",D302&gt;100000,"High income")</f>
        <v>low income</v>
      </c>
      <c r="P302" t="str" cm="1">
        <f t="array" ref="P302">_xlfn.IFS(E302&lt;=2,"&lt;=2",E302&gt;2,"&gt;2")</f>
        <v>&gt;2</v>
      </c>
    </row>
    <row r="303" spans="1:16">
      <c r="A303" s="2">
        <v>17926</v>
      </c>
      <c r="B303" s="2" t="s">
        <v>28</v>
      </c>
      <c r="C303" s="2" t="s">
        <v>17</v>
      </c>
      <c r="D303" s="6">
        <v>40000</v>
      </c>
      <c r="E303" s="2">
        <v>0</v>
      </c>
      <c r="F303" s="2" t="s">
        <v>18</v>
      </c>
      <c r="G303" s="2" t="s">
        <v>24</v>
      </c>
      <c r="H303" s="2" t="s">
        <v>26</v>
      </c>
      <c r="I303" s="2">
        <v>0</v>
      </c>
      <c r="J303" s="4" t="s">
        <v>21</v>
      </c>
      <c r="K303" s="2" t="s">
        <v>30</v>
      </c>
      <c r="L303" s="2">
        <v>28</v>
      </c>
      <c r="M303" t="str" cm="1">
        <f t="array" ref="M303">_xlfn.IFS(L303&lt;=35,"YOUNG_ADULTS",L303&lt;=55,"MIDDLE_AGED",L303&gt;55,"OLD-AGED")</f>
        <v>YOUNG_ADULTS</v>
      </c>
      <c r="N303" s="2" t="s">
        <v>20</v>
      </c>
      <c r="O303" t="str" cm="1">
        <f t="array" ref="O303">_xlfn.IFS(D303&lt;=50000,"low income",D303&lt;=100000,"Mid income",D303&gt;100000,"High income")</f>
        <v>low income</v>
      </c>
      <c r="P303" t="str" cm="1">
        <f t="array" ref="P303">_xlfn.IFS(E303&lt;=2,"&lt;=2",E303&gt;2,"&gt;2")</f>
        <v>&lt;=2</v>
      </c>
    </row>
    <row r="304" spans="1:16">
      <c r="A304" s="2">
        <v>26928</v>
      </c>
      <c r="B304" s="2" t="s">
        <v>28</v>
      </c>
      <c r="C304" s="2" t="s">
        <v>16</v>
      </c>
      <c r="D304" s="6">
        <v>30000</v>
      </c>
      <c r="E304" s="2">
        <v>1</v>
      </c>
      <c r="F304" s="2" t="s">
        <v>18</v>
      </c>
      <c r="G304" s="2" t="s">
        <v>24</v>
      </c>
      <c r="H304" s="2" t="s">
        <v>20</v>
      </c>
      <c r="I304" s="2">
        <v>0</v>
      </c>
      <c r="J304" s="4" t="s">
        <v>21</v>
      </c>
      <c r="K304" s="2" t="s">
        <v>22</v>
      </c>
      <c r="L304" s="2">
        <v>62</v>
      </c>
      <c r="M304" t="str" cm="1">
        <f t="array" ref="M304">_xlfn.IFS(L304&lt;=35,"YOUNG_ADULTS",L304&lt;=55,"MIDDLE_AGED",L304&gt;55,"OLD-AGED")</f>
        <v>OLD-AGED</v>
      </c>
      <c r="N304" s="2" t="s">
        <v>20</v>
      </c>
      <c r="O304" t="str" cm="1">
        <f t="array" ref="O304">_xlfn.IFS(D304&lt;=50000,"low income",D304&lt;=100000,"Mid income",D304&gt;100000,"High income")</f>
        <v>low income</v>
      </c>
      <c r="P304" t="str" cm="1">
        <f t="array" ref="P304">_xlfn.IFS(E304&lt;=2,"&lt;=2",E304&gt;2,"&gt;2")</f>
        <v>&lt;=2</v>
      </c>
    </row>
    <row r="305" spans="1:16">
      <c r="A305" s="2">
        <v>20897</v>
      </c>
      <c r="B305" s="2" t="s">
        <v>16</v>
      </c>
      <c r="C305" s="2" t="s">
        <v>17</v>
      </c>
      <c r="D305" s="6">
        <v>30000</v>
      </c>
      <c r="E305" s="2">
        <v>1</v>
      </c>
      <c r="F305" s="2" t="s">
        <v>18</v>
      </c>
      <c r="G305" s="2" t="s">
        <v>19</v>
      </c>
      <c r="H305" s="2" t="s">
        <v>20</v>
      </c>
      <c r="I305" s="2">
        <v>2</v>
      </c>
      <c r="J305" s="4" t="s">
        <v>21</v>
      </c>
      <c r="K305" s="2" t="s">
        <v>22</v>
      </c>
      <c r="L305" s="2">
        <v>40</v>
      </c>
      <c r="M305" t="str" cm="1">
        <f t="array" ref="M305">_xlfn.IFS(L305&lt;=35,"YOUNG_ADULTS",L305&lt;=55,"MIDDLE_AGED",L305&gt;55,"OLD-AGED")</f>
        <v>MIDDLE_AGED</v>
      </c>
      <c r="O305" t="str" cm="1">
        <f t="array" ref="O305">_xlfn.IFS(D305&lt;=50000,"low income",D305&lt;=100000,"Mid income",D305&gt;100000,"High income")</f>
        <v>low income</v>
      </c>
      <c r="P305" t="str" cm="1">
        <f t="array" ref="P305">_xlfn.IFS(E305&lt;=2,"&lt;=2",E305&gt;2,"&gt;2")</f>
        <v>&lt;=2</v>
      </c>
    </row>
    <row r="306" spans="1:16">
      <c r="A306" s="2">
        <v>28207</v>
      </c>
      <c r="B306" s="2" t="s">
        <v>16</v>
      </c>
      <c r="C306" s="2" t="s">
        <v>16</v>
      </c>
      <c r="D306" s="6">
        <v>80000</v>
      </c>
      <c r="E306" s="2">
        <v>4</v>
      </c>
      <c r="F306" s="2" t="s">
        <v>37</v>
      </c>
      <c r="G306" s="2" t="s">
        <v>34</v>
      </c>
      <c r="H306" s="2" t="s">
        <v>20</v>
      </c>
      <c r="I306" s="2">
        <v>1</v>
      </c>
      <c r="J306" s="4" t="s">
        <v>21</v>
      </c>
      <c r="K306" s="2" t="s">
        <v>30</v>
      </c>
      <c r="L306" s="2">
        <v>36</v>
      </c>
      <c r="M306" t="str" cm="1">
        <f t="array" ref="M306">_xlfn.IFS(L306&lt;=35,"YOUNG_ADULTS",L306&lt;=55,"MIDDLE_AGED",L306&gt;55,"OLD-AGED")</f>
        <v>MIDDLE_AGED</v>
      </c>
      <c r="N306" s="2" t="s">
        <v>20</v>
      </c>
      <c r="O306" t="str" cm="1">
        <f t="array" ref="O306">_xlfn.IFS(D306&lt;=50000,"low income",D306&lt;=100000,"Mid income",D306&gt;100000,"High income")</f>
        <v>Mid income</v>
      </c>
      <c r="P306" t="str" cm="1">
        <f t="array" ref="P306">_xlfn.IFS(E306&lt;=2,"&lt;=2",E306&gt;2,"&gt;2")</f>
        <v>&gt;2</v>
      </c>
    </row>
    <row r="307" spans="1:16">
      <c r="A307" s="2">
        <v>25923</v>
      </c>
      <c r="B307" s="2" t="s">
        <v>28</v>
      </c>
      <c r="C307" s="2" t="s">
        <v>16</v>
      </c>
      <c r="D307" s="6">
        <v>10000</v>
      </c>
      <c r="E307" s="2">
        <v>2</v>
      </c>
      <c r="F307" s="2" t="s">
        <v>35</v>
      </c>
      <c r="G307" s="2" t="s">
        <v>24</v>
      </c>
      <c r="H307" s="2" t="s">
        <v>20</v>
      </c>
      <c r="I307" s="2">
        <v>2</v>
      </c>
      <c r="J307" s="4" t="s">
        <v>29</v>
      </c>
      <c r="K307" s="2" t="s">
        <v>30</v>
      </c>
      <c r="L307" s="2">
        <v>58</v>
      </c>
      <c r="M307" t="str" cm="1">
        <f t="array" ref="M307">_xlfn.IFS(L307&lt;=35,"YOUNG_ADULTS",L307&lt;=55,"MIDDLE_AGED",L307&gt;55,"OLD-AGED")</f>
        <v>OLD-AGED</v>
      </c>
      <c r="O307" t="str" cm="1">
        <f t="array" ref="O307">_xlfn.IFS(D307&lt;=50000,"low income",D307&lt;=100000,"Mid income",D307&gt;100000,"High income")</f>
        <v>low income</v>
      </c>
      <c r="P307" t="str" cm="1">
        <f t="array" ref="P307">_xlfn.IFS(E307&lt;=2,"&lt;=2",E307&gt;2,"&gt;2")</f>
        <v>&lt;=2</v>
      </c>
    </row>
    <row r="308" spans="1:16">
      <c r="A308" s="2">
        <v>11000</v>
      </c>
      <c r="B308" s="2" t="s">
        <v>16</v>
      </c>
      <c r="C308" s="2" t="s">
        <v>16</v>
      </c>
      <c r="D308" s="6">
        <v>90000</v>
      </c>
      <c r="E308" s="2">
        <v>2</v>
      </c>
      <c r="F308" s="2" t="s">
        <v>18</v>
      </c>
      <c r="G308" s="2" t="s">
        <v>25</v>
      </c>
      <c r="H308" s="2" t="s">
        <v>20</v>
      </c>
      <c r="I308" s="2">
        <v>0</v>
      </c>
      <c r="J308" s="4" t="s">
        <v>32</v>
      </c>
      <c r="K308" s="2" t="s">
        <v>30</v>
      </c>
      <c r="L308" s="2">
        <v>40</v>
      </c>
      <c r="M308" t="str" cm="1">
        <f t="array" ref="M308">_xlfn.IFS(L308&lt;=35,"YOUNG_ADULTS",L308&lt;=55,"MIDDLE_AGED",L308&gt;55,"OLD-AGED")</f>
        <v>MIDDLE_AGED</v>
      </c>
      <c r="N308" s="2" t="s">
        <v>20</v>
      </c>
      <c r="O308" t="str" cm="1">
        <f t="array" ref="O308">_xlfn.IFS(D308&lt;=50000,"low income",D308&lt;=100000,"Mid income",D308&gt;100000,"High income")</f>
        <v>Mid income</v>
      </c>
      <c r="P308" t="str" cm="1">
        <f t="array" ref="P308">_xlfn.IFS(E308&lt;=2,"&lt;=2",E308&gt;2,"&gt;2")</f>
        <v>&lt;=2</v>
      </c>
    </row>
    <row r="309" spans="1:16">
      <c r="A309" s="2">
        <v>20974</v>
      </c>
      <c r="B309" s="2" t="s">
        <v>16</v>
      </c>
      <c r="C309" s="2" t="s">
        <v>16</v>
      </c>
      <c r="D309" s="6">
        <v>10000</v>
      </c>
      <c r="E309" s="2">
        <v>2</v>
      </c>
      <c r="F309" s="2" t="s">
        <v>18</v>
      </c>
      <c r="G309" s="2" t="s">
        <v>24</v>
      </c>
      <c r="H309" s="2" t="s">
        <v>20</v>
      </c>
      <c r="I309" s="2">
        <v>1</v>
      </c>
      <c r="J309" s="4" t="s">
        <v>21</v>
      </c>
      <c r="K309" s="2" t="s">
        <v>22</v>
      </c>
      <c r="L309" s="2">
        <v>66</v>
      </c>
      <c r="M309" t="str" cm="1">
        <f t="array" ref="M309">_xlfn.IFS(L309&lt;=35,"YOUNG_ADULTS",L309&lt;=55,"MIDDLE_AGED",L309&gt;55,"OLD-AGED")</f>
        <v>OLD-AGED</v>
      </c>
      <c r="O309" t="str" cm="1">
        <f t="array" ref="O309">_xlfn.IFS(D309&lt;=50000,"low income",D309&lt;=100000,"Mid income",D309&gt;100000,"High income")</f>
        <v>low income</v>
      </c>
      <c r="P309" t="str" cm="1">
        <f t="array" ref="P309">_xlfn.IFS(E309&lt;=2,"&lt;=2",E309&gt;2,"&gt;2")</f>
        <v>&lt;=2</v>
      </c>
    </row>
    <row r="310" spans="1:16">
      <c r="A310" s="2">
        <v>28758</v>
      </c>
      <c r="B310" s="2" t="s">
        <v>16</v>
      </c>
      <c r="C310" s="2" t="s">
        <v>16</v>
      </c>
      <c r="D310" s="6">
        <v>40000</v>
      </c>
      <c r="E310" s="2">
        <v>2</v>
      </c>
      <c r="F310" s="2" t="s">
        <v>23</v>
      </c>
      <c r="G310" s="2" t="s">
        <v>24</v>
      </c>
      <c r="H310" s="2" t="s">
        <v>20</v>
      </c>
      <c r="I310" s="2">
        <v>1</v>
      </c>
      <c r="J310" s="4" t="s">
        <v>32</v>
      </c>
      <c r="K310" s="2" t="s">
        <v>22</v>
      </c>
      <c r="L310" s="2">
        <v>35</v>
      </c>
      <c r="M310" t="str" cm="1">
        <f t="array" ref="M310">_xlfn.IFS(L310&lt;=35,"YOUNG_ADULTS",L310&lt;=55,"MIDDLE_AGED",L310&gt;55,"OLD-AGED")</f>
        <v>YOUNG_ADULTS</v>
      </c>
      <c r="N310" s="2" t="s">
        <v>20</v>
      </c>
      <c r="O310" t="str" cm="1">
        <f t="array" ref="O310">_xlfn.IFS(D310&lt;=50000,"low income",D310&lt;=100000,"Mid income",D310&gt;100000,"High income")</f>
        <v>low income</v>
      </c>
      <c r="P310" t="str" cm="1">
        <f t="array" ref="P310">_xlfn.IFS(E310&lt;=2,"&lt;=2",E310&gt;2,"&gt;2")</f>
        <v>&lt;=2</v>
      </c>
    </row>
    <row r="311" spans="1:16">
      <c r="A311" s="2">
        <v>11381</v>
      </c>
      <c r="B311" s="2" t="s">
        <v>16</v>
      </c>
      <c r="C311" s="2" t="s">
        <v>17</v>
      </c>
      <c r="D311" s="6">
        <v>20000</v>
      </c>
      <c r="E311" s="2">
        <v>2</v>
      </c>
      <c r="F311" s="2" t="s">
        <v>23</v>
      </c>
      <c r="G311" s="2" t="s">
        <v>31</v>
      </c>
      <c r="H311" s="2" t="s">
        <v>20</v>
      </c>
      <c r="I311" s="2">
        <v>1</v>
      </c>
      <c r="J311" s="4" t="s">
        <v>27</v>
      </c>
      <c r="K311" s="2" t="s">
        <v>22</v>
      </c>
      <c r="L311" s="2">
        <v>47</v>
      </c>
      <c r="M311" t="str" cm="1">
        <f t="array" ref="M311">_xlfn.IFS(L311&lt;=35,"YOUNG_ADULTS",L311&lt;=55,"MIDDLE_AGED",L311&gt;55,"OLD-AGED")</f>
        <v>MIDDLE_AGED</v>
      </c>
      <c r="N311" s="2" t="s">
        <v>20</v>
      </c>
      <c r="O311" t="str" cm="1">
        <f t="array" ref="O311">_xlfn.IFS(D311&lt;=50000,"low income",D311&lt;=100000,"Mid income",D311&gt;100000,"High income")</f>
        <v>low income</v>
      </c>
      <c r="P311" t="str" cm="1">
        <f t="array" ref="P311">_xlfn.IFS(E311&lt;=2,"&lt;=2",E311&gt;2,"&gt;2")</f>
        <v>&lt;=2</v>
      </c>
    </row>
    <row r="312" spans="1:16">
      <c r="A312" s="2">
        <v>17522</v>
      </c>
      <c r="B312" s="2" t="s">
        <v>16</v>
      </c>
      <c r="C312" s="2" t="s">
        <v>16</v>
      </c>
      <c r="D312" s="6">
        <v>120000</v>
      </c>
      <c r="E312" s="2">
        <v>4</v>
      </c>
      <c r="F312" s="2" t="s">
        <v>18</v>
      </c>
      <c r="G312" s="2" t="s">
        <v>34</v>
      </c>
      <c r="H312" s="2" t="s">
        <v>20</v>
      </c>
      <c r="I312" s="2">
        <v>1</v>
      </c>
      <c r="J312" s="4" t="s">
        <v>27</v>
      </c>
      <c r="K312" s="2" t="s">
        <v>30</v>
      </c>
      <c r="L312" s="2">
        <v>47</v>
      </c>
      <c r="M312" t="str" cm="1">
        <f t="array" ref="M312">_xlfn.IFS(L312&lt;=35,"YOUNG_ADULTS",L312&lt;=55,"MIDDLE_AGED",L312&gt;55,"OLD-AGED")</f>
        <v>MIDDLE_AGED</v>
      </c>
      <c r="O312" t="str" cm="1">
        <f t="array" ref="O312">_xlfn.IFS(D312&lt;=50000,"low income",D312&lt;=100000,"Mid income",D312&gt;100000,"High income")</f>
        <v>High income</v>
      </c>
      <c r="P312" t="str" cm="1">
        <f t="array" ref="P312">_xlfn.IFS(E312&lt;=2,"&lt;=2",E312&gt;2,"&gt;2")</f>
        <v>&gt;2</v>
      </c>
    </row>
    <row r="313" spans="1:16">
      <c r="A313" s="2">
        <v>21207</v>
      </c>
      <c r="B313" s="2" t="s">
        <v>16</v>
      </c>
      <c r="C313" s="2" t="s">
        <v>16</v>
      </c>
      <c r="D313" s="6">
        <v>60000</v>
      </c>
      <c r="E313" s="2">
        <v>1</v>
      </c>
      <c r="F313" s="2" t="s">
        <v>23</v>
      </c>
      <c r="G313" s="2" t="s">
        <v>19</v>
      </c>
      <c r="H313" s="2" t="s">
        <v>20</v>
      </c>
      <c r="I313" s="2">
        <v>1</v>
      </c>
      <c r="J313" s="4" t="s">
        <v>29</v>
      </c>
      <c r="K313" s="2" t="s">
        <v>30</v>
      </c>
      <c r="L313" s="2">
        <v>46</v>
      </c>
      <c r="M313" t="str" cm="1">
        <f t="array" ref="M313">_xlfn.IFS(L313&lt;=35,"YOUNG_ADULTS",L313&lt;=55,"MIDDLE_AGED",L313&gt;55,"OLD-AGED")</f>
        <v>MIDDLE_AGED</v>
      </c>
      <c r="O313" t="str" cm="1">
        <f t="array" ref="O313">_xlfn.IFS(D313&lt;=50000,"low income",D313&lt;=100000,"Mid income",D313&gt;100000,"High income")</f>
        <v>Mid income</v>
      </c>
      <c r="P313" t="str" cm="1">
        <f t="array" ref="P313">_xlfn.IFS(E313&lt;=2,"&lt;=2",E313&gt;2,"&gt;2")</f>
        <v>&lt;=2</v>
      </c>
    </row>
    <row r="314" spans="1:16">
      <c r="A314" s="2">
        <v>28102</v>
      </c>
      <c r="B314" s="2" t="s">
        <v>16</v>
      </c>
      <c r="C314" s="2" t="s">
        <v>16</v>
      </c>
      <c r="D314" s="6">
        <v>20000</v>
      </c>
      <c r="E314" s="2">
        <v>4</v>
      </c>
      <c r="F314" s="2" t="s">
        <v>33</v>
      </c>
      <c r="G314" s="2" t="s">
        <v>19</v>
      </c>
      <c r="H314" s="2" t="s">
        <v>20</v>
      </c>
      <c r="I314" s="2">
        <v>2</v>
      </c>
      <c r="J314" s="4" t="s">
        <v>29</v>
      </c>
      <c r="K314" s="2" t="s">
        <v>30</v>
      </c>
      <c r="L314" s="2">
        <v>58</v>
      </c>
      <c r="M314" t="str" cm="1">
        <f t="array" ref="M314">_xlfn.IFS(L314&lt;=35,"YOUNG_ADULTS",L314&lt;=55,"MIDDLE_AGED",L314&gt;55,"OLD-AGED")</f>
        <v>OLD-AGED</v>
      </c>
      <c r="N314" s="2" t="s">
        <v>20</v>
      </c>
      <c r="O314" t="str" cm="1">
        <f t="array" ref="O314">_xlfn.IFS(D314&lt;=50000,"low income",D314&lt;=100000,"Mid income",D314&gt;100000,"High income")</f>
        <v>low income</v>
      </c>
      <c r="P314" t="str" cm="1">
        <f t="array" ref="P314">_xlfn.IFS(E314&lt;=2,"&lt;=2",E314&gt;2,"&gt;2")</f>
        <v>&gt;2</v>
      </c>
    </row>
    <row r="315" spans="1:16">
      <c r="A315" s="2">
        <v>23105</v>
      </c>
      <c r="B315" s="2" t="s">
        <v>28</v>
      </c>
      <c r="C315" s="2" t="s">
        <v>16</v>
      </c>
      <c r="D315" s="6">
        <v>40000</v>
      </c>
      <c r="E315" s="2">
        <v>3</v>
      </c>
      <c r="F315" s="2" t="s">
        <v>35</v>
      </c>
      <c r="G315" s="2" t="s">
        <v>24</v>
      </c>
      <c r="H315" s="2" t="s">
        <v>26</v>
      </c>
      <c r="I315" s="2">
        <v>2</v>
      </c>
      <c r="J315" s="4" t="s">
        <v>29</v>
      </c>
      <c r="K315" s="2" t="s">
        <v>30</v>
      </c>
      <c r="L315" s="2">
        <v>52</v>
      </c>
      <c r="M315" t="str" cm="1">
        <f t="array" ref="M315">_xlfn.IFS(L315&lt;=35,"YOUNG_ADULTS",L315&lt;=55,"MIDDLE_AGED",L315&gt;55,"OLD-AGED")</f>
        <v>MIDDLE_AGED</v>
      </c>
      <c r="N315" s="2" t="s">
        <v>20</v>
      </c>
      <c r="O315" t="str" cm="1">
        <f t="array" ref="O315">_xlfn.IFS(D315&lt;=50000,"low income",D315&lt;=100000,"Mid income",D315&gt;100000,"High income")</f>
        <v>low income</v>
      </c>
      <c r="P315" t="str" cm="1">
        <f t="array" ref="P315">_xlfn.IFS(E315&lt;=2,"&lt;=2",E315&gt;2,"&gt;2")</f>
        <v>&gt;2</v>
      </c>
    </row>
    <row r="316" spans="1:16">
      <c r="A316" s="2">
        <v>18740</v>
      </c>
      <c r="B316" s="2" t="s">
        <v>16</v>
      </c>
      <c r="C316" s="2" t="s">
        <v>16</v>
      </c>
      <c r="D316" s="6">
        <v>80000</v>
      </c>
      <c r="E316" s="2">
        <v>5</v>
      </c>
      <c r="F316" s="2" t="s">
        <v>18</v>
      </c>
      <c r="G316" s="2" t="s">
        <v>25</v>
      </c>
      <c r="H316" s="2" t="s">
        <v>26</v>
      </c>
      <c r="I316" s="2">
        <v>1</v>
      </c>
      <c r="J316" s="4" t="s">
        <v>21</v>
      </c>
      <c r="K316" s="2" t="s">
        <v>30</v>
      </c>
      <c r="L316" s="2">
        <v>47</v>
      </c>
      <c r="M316" t="str" cm="1">
        <f t="array" ref="M316">_xlfn.IFS(L316&lt;=35,"YOUNG_ADULTS",L316&lt;=55,"MIDDLE_AGED",L316&gt;55,"OLD-AGED")</f>
        <v>MIDDLE_AGED</v>
      </c>
      <c r="N316" s="2" t="s">
        <v>20</v>
      </c>
      <c r="O316" t="str" cm="1">
        <f t="array" ref="O316">_xlfn.IFS(D316&lt;=50000,"low income",D316&lt;=100000,"Mid income",D316&gt;100000,"High income")</f>
        <v>Mid income</v>
      </c>
      <c r="P316" t="str" cm="1">
        <f t="array" ref="P316">_xlfn.IFS(E316&lt;=2,"&lt;=2",E316&gt;2,"&gt;2")</f>
        <v>&gt;2</v>
      </c>
    </row>
    <row r="317" spans="1:16">
      <c r="A317" s="2">
        <v>21213</v>
      </c>
      <c r="B317" s="2" t="s">
        <v>28</v>
      </c>
      <c r="C317" s="2" t="s">
        <v>16</v>
      </c>
      <c r="D317" s="6">
        <v>70000</v>
      </c>
      <c r="E317" s="2">
        <v>0</v>
      </c>
      <c r="F317" s="2" t="s">
        <v>18</v>
      </c>
      <c r="G317" s="2" t="s">
        <v>25</v>
      </c>
      <c r="H317" s="2" t="s">
        <v>26</v>
      </c>
      <c r="I317" s="2">
        <v>1</v>
      </c>
      <c r="J317" s="4" t="s">
        <v>29</v>
      </c>
      <c r="K317" s="2" t="s">
        <v>30</v>
      </c>
      <c r="L317" s="2">
        <v>41</v>
      </c>
      <c r="M317" t="str" cm="1">
        <f t="array" ref="M317">_xlfn.IFS(L317&lt;=35,"YOUNG_ADULTS",L317&lt;=55,"MIDDLE_AGED",L317&gt;55,"OLD-AGED")</f>
        <v>MIDDLE_AGED</v>
      </c>
      <c r="O317" t="str" cm="1">
        <f t="array" ref="O317">_xlfn.IFS(D317&lt;=50000,"low income",D317&lt;=100000,"Mid income",D317&gt;100000,"High income")</f>
        <v>Mid income</v>
      </c>
      <c r="P317" t="str" cm="1">
        <f t="array" ref="P317">_xlfn.IFS(E317&lt;=2,"&lt;=2",E317&gt;2,"&gt;2")</f>
        <v>&lt;=2</v>
      </c>
    </row>
    <row r="318" spans="1:16">
      <c r="A318" s="2">
        <v>17352</v>
      </c>
      <c r="B318" s="2" t="s">
        <v>16</v>
      </c>
      <c r="C318" s="2" t="s">
        <v>16</v>
      </c>
      <c r="D318" s="6">
        <v>50000</v>
      </c>
      <c r="E318" s="2">
        <v>2</v>
      </c>
      <c r="F318" s="2" t="s">
        <v>37</v>
      </c>
      <c r="G318" s="2" t="s">
        <v>34</v>
      </c>
      <c r="H318" s="2" t="s">
        <v>20</v>
      </c>
      <c r="I318" s="2">
        <v>1</v>
      </c>
      <c r="J318" s="4" t="s">
        <v>29</v>
      </c>
      <c r="K318" s="2" t="s">
        <v>30</v>
      </c>
      <c r="L318" s="2">
        <v>64</v>
      </c>
      <c r="M318" t="str" cm="1">
        <f t="array" ref="M318">_xlfn.IFS(L318&lt;=35,"YOUNG_ADULTS",L318&lt;=55,"MIDDLE_AGED",L318&gt;55,"OLD-AGED")</f>
        <v>OLD-AGED</v>
      </c>
      <c r="N318" s="2" t="s">
        <v>20</v>
      </c>
      <c r="O318" t="str" cm="1">
        <f t="array" ref="O318">_xlfn.IFS(D318&lt;=50000,"low income",D318&lt;=100000,"Mid income",D318&gt;100000,"High income")</f>
        <v>low income</v>
      </c>
      <c r="P318" t="str" cm="1">
        <f t="array" ref="P318">_xlfn.IFS(E318&lt;=2,"&lt;=2",E318&gt;2,"&gt;2")</f>
        <v>&lt;=2</v>
      </c>
    </row>
    <row r="319" spans="1:16">
      <c r="A319" s="2">
        <v>14154</v>
      </c>
      <c r="B319" s="2" t="s">
        <v>16</v>
      </c>
      <c r="C319" s="2" t="s">
        <v>16</v>
      </c>
      <c r="D319" s="6">
        <v>30000</v>
      </c>
      <c r="E319" s="2">
        <v>0</v>
      </c>
      <c r="F319" s="2" t="s">
        <v>18</v>
      </c>
      <c r="G319" s="2" t="s">
        <v>24</v>
      </c>
      <c r="H319" s="2" t="s">
        <v>20</v>
      </c>
      <c r="I319" s="2">
        <v>0</v>
      </c>
      <c r="J319" s="4" t="s">
        <v>21</v>
      </c>
      <c r="K319" s="2" t="s">
        <v>22</v>
      </c>
      <c r="L319" s="2">
        <v>35</v>
      </c>
      <c r="M319" t="str" cm="1">
        <f t="array" ref="M319">_xlfn.IFS(L319&lt;=35,"YOUNG_ADULTS",L319&lt;=55,"MIDDLE_AGED",L319&gt;55,"OLD-AGED")</f>
        <v>YOUNG_ADULTS</v>
      </c>
      <c r="N319" s="2" t="s">
        <v>20</v>
      </c>
      <c r="O319" t="str" cm="1">
        <f t="array" ref="O319">_xlfn.IFS(D319&lt;=50000,"low income",D319&lt;=100000,"Mid income",D319&gt;100000,"High income")</f>
        <v>low income</v>
      </c>
      <c r="P319" t="str" cm="1">
        <f t="array" ref="P319">_xlfn.IFS(E319&lt;=2,"&lt;=2",E319&gt;2,"&gt;2")</f>
        <v>&lt;=2</v>
      </c>
    </row>
    <row r="320" spans="1:16">
      <c r="A320" s="2">
        <v>19066</v>
      </c>
      <c r="B320" s="2" t="s">
        <v>16</v>
      </c>
      <c r="C320" s="2" t="s">
        <v>16</v>
      </c>
      <c r="D320" s="6">
        <v>130000</v>
      </c>
      <c r="E320" s="2">
        <v>4</v>
      </c>
      <c r="F320" s="2" t="s">
        <v>23</v>
      </c>
      <c r="G320" s="2" t="s">
        <v>25</v>
      </c>
      <c r="H320" s="2" t="s">
        <v>26</v>
      </c>
      <c r="I320" s="2">
        <v>3</v>
      </c>
      <c r="J320" s="4" t="s">
        <v>36</v>
      </c>
      <c r="K320" s="2" t="s">
        <v>22</v>
      </c>
      <c r="L320" s="2">
        <v>54</v>
      </c>
      <c r="M320" t="str" cm="1">
        <f t="array" ref="M320">_xlfn.IFS(L320&lt;=35,"YOUNG_ADULTS",L320&lt;=55,"MIDDLE_AGED",L320&gt;55,"OLD-AGED")</f>
        <v>MIDDLE_AGED</v>
      </c>
      <c r="O320" t="str" cm="1">
        <f t="array" ref="O320">_xlfn.IFS(D320&lt;=50000,"low income",D320&lt;=100000,"Mid income",D320&gt;100000,"High income")</f>
        <v>High income</v>
      </c>
      <c r="P320" t="str" cm="1">
        <f t="array" ref="P320">_xlfn.IFS(E320&lt;=2,"&lt;=2",E320&gt;2,"&gt;2")</f>
        <v>&gt;2</v>
      </c>
    </row>
    <row r="321" spans="1:16">
      <c r="A321" s="2">
        <v>11386</v>
      </c>
      <c r="B321" s="2" t="s">
        <v>16</v>
      </c>
      <c r="C321" s="2" t="s">
        <v>17</v>
      </c>
      <c r="D321" s="6">
        <v>30000</v>
      </c>
      <c r="E321" s="2">
        <v>3</v>
      </c>
      <c r="F321" s="2" t="s">
        <v>18</v>
      </c>
      <c r="G321" s="2" t="s">
        <v>24</v>
      </c>
      <c r="H321" s="2" t="s">
        <v>20</v>
      </c>
      <c r="I321" s="2">
        <v>0</v>
      </c>
      <c r="J321" s="4" t="s">
        <v>21</v>
      </c>
      <c r="K321" s="2" t="s">
        <v>22</v>
      </c>
      <c r="L321" s="2">
        <v>45</v>
      </c>
      <c r="M321" t="str" cm="1">
        <f t="array" ref="M321">_xlfn.IFS(L321&lt;=35,"YOUNG_ADULTS",L321&lt;=55,"MIDDLE_AGED",L321&gt;55,"OLD-AGED")</f>
        <v>MIDDLE_AGED</v>
      </c>
      <c r="O321" t="str" cm="1">
        <f t="array" ref="O321">_xlfn.IFS(D321&lt;=50000,"low income",D321&lt;=100000,"Mid income",D321&gt;100000,"High income")</f>
        <v>low income</v>
      </c>
      <c r="P321" t="str" cm="1">
        <f t="array" ref="P321">_xlfn.IFS(E321&lt;=2,"&lt;=2",E321&gt;2,"&gt;2")</f>
        <v>&gt;2</v>
      </c>
    </row>
    <row r="322" spans="1:16">
      <c r="A322" s="2">
        <v>20228</v>
      </c>
      <c r="B322" s="2" t="s">
        <v>16</v>
      </c>
      <c r="C322" s="2" t="s">
        <v>16</v>
      </c>
      <c r="D322" s="6">
        <v>100000</v>
      </c>
      <c r="E322" s="2">
        <v>0</v>
      </c>
      <c r="F322" s="2" t="s">
        <v>37</v>
      </c>
      <c r="G322" s="2" t="s">
        <v>34</v>
      </c>
      <c r="H322" s="2" t="s">
        <v>20</v>
      </c>
      <c r="I322" s="2">
        <v>0</v>
      </c>
      <c r="J322" s="4" t="s">
        <v>27</v>
      </c>
      <c r="K322" s="2" t="s">
        <v>30</v>
      </c>
      <c r="L322" s="2">
        <v>40</v>
      </c>
      <c r="M322" t="str" cm="1">
        <f t="array" ref="M322">_xlfn.IFS(L322&lt;=35,"YOUNG_ADULTS",L322&lt;=55,"MIDDLE_AGED",L322&gt;55,"OLD-AGED")</f>
        <v>MIDDLE_AGED</v>
      </c>
      <c r="N322" s="2" t="s">
        <v>20</v>
      </c>
      <c r="O322" t="str" cm="1">
        <f t="array" ref="O322">_xlfn.IFS(D322&lt;=50000,"low income",D322&lt;=100000,"Mid income",D322&gt;100000,"High income")</f>
        <v>Mid income</v>
      </c>
      <c r="P322" t="str" cm="1">
        <f t="array" ref="P322">_xlfn.IFS(E322&lt;=2,"&lt;=2",E322&gt;2,"&gt;2")</f>
        <v>&lt;=2</v>
      </c>
    </row>
    <row r="323" spans="1:16">
      <c r="A323" s="2">
        <v>16675</v>
      </c>
      <c r="B323" s="2" t="s">
        <v>28</v>
      </c>
      <c r="C323" s="2" t="s">
        <v>17</v>
      </c>
      <c r="D323" s="6">
        <v>160000</v>
      </c>
      <c r="E323" s="2">
        <v>0</v>
      </c>
      <c r="F323" s="2" t="s">
        <v>37</v>
      </c>
      <c r="G323" s="2" t="s">
        <v>34</v>
      </c>
      <c r="H323" s="2" t="s">
        <v>26</v>
      </c>
      <c r="I323" s="2">
        <v>3</v>
      </c>
      <c r="J323" s="4" t="s">
        <v>21</v>
      </c>
      <c r="K323" s="2" t="s">
        <v>30</v>
      </c>
      <c r="L323" s="2">
        <v>47</v>
      </c>
      <c r="M323" t="str" cm="1">
        <f t="array" ref="M323">_xlfn.IFS(L323&lt;=35,"YOUNG_ADULTS",L323&lt;=55,"MIDDLE_AGED",L323&gt;55,"OLD-AGED")</f>
        <v>MIDDLE_AGED</v>
      </c>
      <c r="N323" s="2" t="s">
        <v>20</v>
      </c>
      <c r="O323" t="str" cm="1">
        <f t="array" ref="O323">_xlfn.IFS(D323&lt;=50000,"low income",D323&lt;=100000,"Mid income",D323&gt;100000,"High income")</f>
        <v>High income</v>
      </c>
      <c r="P323" t="str" cm="1">
        <f t="array" ref="P323">_xlfn.IFS(E323&lt;=2,"&lt;=2",E323&gt;2,"&gt;2")</f>
        <v>&lt;=2</v>
      </c>
    </row>
    <row r="324" spans="1:16">
      <c r="A324" s="2">
        <v>16410</v>
      </c>
      <c r="B324" s="2" t="s">
        <v>28</v>
      </c>
      <c r="C324" s="2" t="s">
        <v>17</v>
      </c>
      <c r="D324" s="6">
        <v>10000</v>
      </c>
      <c r="E324" s="2">
        <v>4</v>
      </c>
      <c r="F324" s="2" t="s">
        <v>35</v>
      </c>
      <c r="G324" s="2" t="s">
        <v>31</v>
      </c>
      <c r="H324" s="2" t="s">
        <v>20</v>
      </c>
      <c r="I324" s="2">
        <v>2</v>
      </c>
      <c r="J324" s="4" t="s">
        <v>21</v>
      </c>
      <c r="K324" s="2" t="s">
        <v>22</v>
      </c>
      <c r="L324" s="2">
        <v>41</v>
      </c>
      <c r="M324" t="str" cm="1">
        <f t="array" ref="M324">_xlfn.IFS(L324&lt;=35,"YOUNG_ADULTS",L324&lt;=55,"MIDDLE_AGED",L324&gt;55,"OLD-AGED")</f>
        <v>MIDDLE_AGED</v>
      </c>
      <c r="N324" s="2" t="s">
        <v>20</v>
      </c>
      <c r="O324" t="str" cm="1">
        <f t="array" ref="O324">_xlfn.IFS(D324&lt;=50000,"low income",D324&lt;=100000,"Mid income",D324&gt;100000,"High income")</f>
        <v>low income</v>
      </c>
      <c r="P324" t="str" cm="1">
        <f t="array" ref="P324">_xlfn.IFS(E324&lt;=2,"&lt;=2",E324&gt;2,"&gt;2")</f>
        <v>&gt;2</v>
      </c>
    </row>
    <row r="325" spans="1:16">
      <c r="A325" s="2">
        <v>27760</v>
      </c>
      <c r="B325" s="2" t="s">
        <v>28</v>
      </c>
      <c r="C325" s="2" t="s">
        <v>17</v>
      </c>
      <c r="D325" s="6">
        <v>40000</v>
      </c>
      <c r="E325" s="2">
        <v>0</v>
      </c>
      <c r="F325" s="2" t="s">
        <v>37</v>
      </c>
      <c r="G325" s="2" t="s">
        <v>24</v>
      </c>
      <c r="H325" s="2" t="s">
        <v>26</v>
      </c>
      <c r="I325" s="2">
        <v>0</v>
      </c>
      <c r="J325" s="4" t="s">
        <v>21</v>
      </c>
      <c r="K325" s="2" t="s">
        <v>22</v>
      </c>
      <c r="L325" s="2">
        <v>37</v>
      </c>
      <c r="M325" t="str" cm="1">
        <f t="array" ref="M325">_xlfn.IFS(L325&lt;=35,"YOUNG_ADULTS",L325&lt;=55,"MIDDLE_AGED",L325&gt;55,"OLD-AGED")</f>
        <v>MIDDLE_AGED</v>
      </c>
      <c r="N325" s="2" t="s">
        <v>20</v>
      </c>
      <c r="O325" t="str" cm="1">
        <f t="array" ref="O325">_xlfn.IFS(D325&lt;=50000,"low income",D325&lt;=100000,"Mid income",D325&gt;100000,"High income")</f>
        <v>low income</v>
      </c>
      <c r="P325" t="str" cm="1">
        <f t="array" ref="P325">_xlfn.IFS(E325&lt;=2,"&lt;=2",E325&gt;2,"&gt;2")</f>
        <v>&lt;=2</v>
      </c>
    </row>
    <row r="326" spans="1:16">
      <c r="A326" s="2">
        <v>22930</v>
      </c>
      <c r="B326" s="2" t="s">
        <v>16</v>
      </c>
      <c r="C326" s="2" t="s">
        <v>16</v>
      </c>
      <c r="D326" s="6">
        <v>90000</v>
      </c>
      <c r="E326" s="2">
        <v>4</v>
      </c>
      <c r="F326" s="2" t="s">
        <v>18</v>
      </c>
      <c r="G326" s="2" t="s">
        <v>25</v>
      </c>
      <c r="H326" s="2" t="s">
        <v>20</v>
      </c>
      <c r="I326" s="2">
        <v>0</v>
      </c>
      <c r="J326" s="4" t="s">
        <v>32</v>
      </c>
      <c r="K326" s="2" t="s">
        <v>30</v>
      </c>
      <c r="L326" s="2">
        <v>38</v>
      </c>
      <c r="M326" t="str" cm="1">
        <f t="array" ref="M326">_xlfn.IFS(L326&lt;=35,"YOUNG_ADULTS",L326&lt;=55,"MIDDLE_AGED",L326&gt;55,"OLD-AGED")</f>
        <v>MIDDLE_AGED</v>
      </c>
      <c r="N326" s="2" t="s">
        <v>20</v>
      </c>
      <c r="O326" t="str" cm="1">
        <f t="array" ref="O326">_xlfn.IFS(D326&lt;=50000,"low income",D326&lt;=100000,"Mid income",D326&gt;100000,"High income")</f>
        <v>Mid income</v>
      </c>
      <c r="P326" t="str" cm="1">
        <f t="array" ref="P326">_xlfn.IFS(E326&lt;=2,"&lt;=2",E326&gt;2,"&gt;2")</f>
        <v>&gt;2</v>
      </c>
    </row>
    <row r="327" spans="1:16">
      <c r="A327" s="2">
        <v>23780</v>
      </c>
      <c r="B327" s="2" t="s">
        <v>28</v>
      </c>
      <c r="C327" s="2" t="s">
        <v>16</v>
      </c>
      <c r="D327" s="6">
        <v>40000</v>
      </c>
      <c r="E327" s="2">
        <v>2</v>
      </c>
      <c r="F327" s="2" t="s">
        <v>23</v>
      </c>
      <c r="G327" s="2" t="s">
        <v>24</v>
      </c>
      <c r="H327" s="2" t="s">
        <v>26</v>
      </c>
      <c r="I327" s="2">
        <v>2</v>
      </c>
      <c r="J327" s="4" t="s">
        <v>21</v>
      </c>
      <c r="K327" s="2" t="s">
        <v>22</v>
      </c>
      <c r="L327" s="2">
        <v>36</v>
      </c>
      <c r="M327" t="str" cm="1">
        <f t="array" ref="M327">_xlfn.IFS(L327&lt;=35,"YOUNG_ADULTS",L327&lt;=55,"MIDDLE_AGED",L327&gt;55,"OLD-AGED")</f>
        <v>MIDDLE_AGED</v>
      </c>
      <c r="N327" s="2" t="s">
        <v>20</v>
      </c>
      <c r="O327" t="str" cm="1">
        <f t="array" ref="O327">_xlfn.IFS(D327&lt;=50000,"low income",D327&lt;=100000,"Mid income",D327&gt;100000,"High income")</f>
        <v>low income</v>
      </c>
      <c r="P327" t="str" cm="1">
        <f t="array" ref="P327">_xlfn.IFS(E327&lt;=2,"&lt;=2",E327&gt;2,"&gt;2")</f>
        <v>&lt;=2</v>
      </c>
    </row>
    <row r="328" spans="1:16">
      <c r="A328" s="2">
        <v>20994</v>
      </c>
      <c r="B328" s="2" t="s">
        <v>16</v>
      </c>
      <c r="C328" s="2" t="s">
        <v>17</v>
      </c>
      <c r="D328" s="6">
        <v>20000</v>
      </c>
      <c r="E328" s="2">
        <v>0</v>
      </c>
      <c r="F328" s="2" t="s">
        <v>18</v>
      </c>
      <c r="G328" s="2" t="s">
        <v>24</v>
      </c>
      <c r="H328" s="2" t="s">
        <v>26</v>
      </c>
      <c r="I328" s="2">
        <v>0</v>
      </c>
      <c r="J328" s="4" t="s">
        <v>21</v>
      </c>
      <c r="K328" s="2" t="s">
        <v>30</v>
      </c>
      <c r="L328" s="2">
        <v>26</v>
      </c>
      <c r="M328" t="str" cm="1">
        <f t="array" ref="M328">_xlfn.IFS(L328&lt;=35,"YOUNG_ADULTS",L328&lt;=55,"MIDDLE_AGED",L328&gt;55,"OLD-AGED")</f>
        <v>YOUNG_ADULTS</v>
      </c>
      <c r="N328" s="2" t="s">
        <v>20</v>
      </c>
      <c r="O328" t="str" cm="1">
        <f t="array" ref="O328">_xlfn.IFS(D328&lt;=50000,"low income",D328&lt;=100000,"Mid income",D328&gt;100000,"High income")</f>
        <v>low income</v>
      </c>
      <c r="P328" t="str" cm="1">
        <f t="array" ref="P328">_xlfn.IFS(E328&lt;=2,"&lt;=2",E328&gt;2,"&gt;2")</f>
        <v>&lt;=2</v>
      </c>
    </row>
    <row r="329" spans="1:16">
      <c r="A329" s="2">
        <v>28379</v>
      </c>
      <c r="B329" s="2" t="s">
        <v>16</v>
      </c>
      <c r="C329" s="2" t="s">
        <v>16</v>
      </c>
      <c r="D329" s="6">
        <v>30000</v>
      </c>
      <c r="E329" s="2">
        <v>1</v>
      </c>
      <c r="F329" s="2" t="s">
        <v>18</v>
      </c>
      <c r="G329" s="2" t="s">
        <v>19</v>
      </c>
      <c r="H329" s="2" t="s">
        <v>20</v>
      </c>
      <c r="I329" s="2">
        <v>2</v>
      </c>
      <c r="J329" s="4" t="s">
        <v>21</v>
      </c>
      <c r="K329" s="2" t="s">
        <v>22</v>
      </c>
      <c r="L329" s="2">
        <v>40</v>
      </c>
      <c r="M329" t="str" cm="1">
        <f t="array" ref="M329">_xlfn.IFS(L329&lt;=35,"YOUNG_ADULTS",L329&lt;=55,"MIDDLE_AGED",L329&gt;55,"OLD-AGED")</f>
        <v>MIDDLE_AGED</v>
      </c>
      <c r="O329" t="str" cm="1">
        <f t="array" ref="O329">_xlfn.IFS(D329&lt;=50000,"low income",D329&lt;=100000,"Mid income",D329&gt;100000,"High income")</f>
        <v>low income</v>
      </c>
      <c r="P329" t="str" cm="1">
        <f t="array" ref="P329">_xlfn.IFS(E329&lt;=2,"&lt;=2",E329&gt;2,"&gt;2")</f>
        <v>&lt;=2</v>
      </c>
    </row>
    <row r="330" spans="1:16">
      <c r="A330" s="2">
        <v>14865</v>
      </c>
      <c r="B330" s="2" t="s">
        <v>28</v>
      </c>
      <c r="C330" s="2" t="s">
        <v>16</v>
      </c>
      <c r="D330" s="6">
        <v>40000</v>
      </c>
      <c r="E330" s="2">
        <v>2</v>
      </c>
      <c r="F330" s="2" t="s">
        <v>23</v>
      </c>
      <c r="G330" s="2" t="s">
        <v>24</v>
      </c>
      <c r="H330" s="2" t="s">
        <v>20</v>
      </c>
      <c r="I330" s="2">
        <v>2</v>
      </c>
      <c r="J330" s="4" t="s">
        <v>32</v>
      </c>
      <c r="K330" s="2" t="s">
        <v>22</v>
      </c>
      <c r="L330" s="2">
        <v>36</v>
      </c>
      <c r="M330" t="str" cm="1">
        <f t="array" ref="M330">_xlfn.IFS(L330&lt;=35,"YOUNG_ADULTS",L330&lt;=55,"MIDDLE_AGED",L330&gt;55,"OLD-AGED")</f>
        <v>MIDDLE_AGED</v>
      </c>
      <c r="O330" t="str" cm="1">
        <f t="array" ref="O330">_xlfn.IFS(D330&lt;=50000,"low income",D330&lt;=100000,"Mid income",D330&gt;100000,"High income")</f>
        <v>low income</v>
      </c>
      <c r="P330" t="str" cm="1">
        <f t="array" ref="P330">_xlfn.IFS(E330&lt;=2,"&lt;=2",E330&gt;2,"&gt;2")</f>
        <v>&lt;=2</v>
      </c>
    </row>
    <row r="331" spans="1:16">
      <c r="A331" s="2">
        <v>12663</v>
      </c>
      <c r="B331" s="2" t="s">
        <v>16</v>
      </c>
      <c r="C331" s="2" t="s">
        <v>17</v>
      </c>
      <c r="D331" s="6">
        <v>90000</v>
      </c>
      <c r="E331" s="2">
        <v>5</v>
      </c>
      <c r="F331" s="2" t="s">
        <v>35</v>
      </c>
      <c r="G331" s="2" t="s">
        <v>19</v>
      </c>
      <c r="H331" s="2" t="s">
        <v>20</v>
      </c>
      <c r="I331" s="2">
        <v>2</v>
      </c>
      <c r="J331" s="4" t="s">
        <v>36</v>
      </c>
      <c r="K331" s="2" t="s">
        <v>22</v>
      </c>
      <c r="L331" s="2">
        <v>59</v>
      </c>
      <c r="M331" t="str" cm="1">
        <f t="array" ref="M331">_xlfn.IFS(L331&lt;=35,"YOUNG_ADULTS",L331&lt;=55,"MIDDLE_AGED",L331&gt;55,"OLD-AGED")</f>
        <v>OLD-AGED</v>
      </c>
      <c r="O331" t="str" cm="1">
        <f t="array" ref="O331">_xlfn.IFS(D331&lt;=50000,"low income",D331&lt;=100000,"Mid income",D331&gt;100000,"High income")</f>
        <v>Mid income</v>
      </c>
      <c r="P331" t="str" cm="1">
        <f t="array" ref="P331">_xlfn.IFS(E331&lt;=2,"&lt;=2",E331&gt;2,"&gt;2")</f>
        <v>&gt;2</v>
      </c>
    </row>
    <row r="332" spans="1:16">
      <c r="A332" s="2">
        <v>24898</v>
      </c>
      <c r="B332" s="2" t="s">
        <v>28</v>
      </c>
      <c r="C332" s="2" t="s">
        <v>17</v>
      </c>
      <c r="D332" s="6">
        <v>80000</v>
      </c>
      <c r="E332" s="2">
        <v>0</v>
      </c>
      <c r="F332" s="2" t="s">
        <v>18</v>
      </c>
      <c r="G332" s="2" t="s">
        <v>25</v>
      </c>
      <c r="H332" s="2" t="s">
        <v>20</v>
      </c>
      <c r="I332" s="2">
        <v>3</v>
      </c>
      <c r="J332" s="4" t="s">
        <v>36</v>
      </c>
      <c r="K332" s="2" t="s">
        <v>30</v>
      </c>
      <c r="L332" s="2">
        <v>32</v>
      </c>
      <c r="M332" t="str" cm="1">
        <f t="array" ref="M332">_xlfn.IFS(L332&lt;=35,"YOUNG_ADULTS",L332&lt;=55,"MIDDLE_AGED",L332&gt;55,"OLD-AGED")</f>
        <v>YOUNG_ADULTS</v>
      </c>
      <c r="O332" t="str" cm="1">
        <f t="array" ref="O332">_xlfn.IFS(D332&lt;=50000,"low income",D332&lt;=100000,"Mid income",D332&gt;100000,"High income")</f>
        <v>Mid income</v>
      </c>
      <c r="P332" t="str" cm="1">
        <f t="array" ref="P332">_xlfn.IFS(E332&lt;=2,"&lt;=2",E332&gt;2,"&gt;2")</f>
        <v>&lt;=2</v>
      </c>
    </row>
    <row r="333" spans="1:16">
      <c r="A333" s="2">
        <v>19508</v>
      </c>
      <c r="B333" s="2" t="s">
        <v>16</v>
      </c>
      <c r="C333" s="2" t="s">
        <v>16</v>
      </c>
      <c r="D333" s="6">
        <v>10000</v>
      </c>
      <c r="E333" s="2">
        <v>0</v>
      </c>
      <c r="F333" s="2" t="s">
        <v>35</v>
      </c>
      <c r="G333" s="2" t="s">
        <v>31</v>
      </c>
      <c r="H333" s="2" t="s">
        <v>26</v>
      </c>
      <c r="I333" s="2">
        <v>2</v>
      </c>
      <c r="J333" s="4" t="s">
        <v>21</v>
      </c>
      <c r="K333" s="2" t="s">
        <v>22</v>
      </c>
      <c r="L333" s="2">
        <v>30</v>
      </c>
      <c r="M333" t="str" cm="1">
        <f t="array" ref="M333">_xlfn.IFS(L333&lt;=35,"YOUNG_ADULTS",L333&lt;=55,"MIDDLE_AGED",L333&gt;55,"OLD-AGED")</f>
        <v>YOUNG_ADULTS</v>
      </c>
      <c r="O333" t="str" cm="1">
        <f t="array" ref="O333">_xlfn.IFS(D333&lt;=50000,"low income",D333&lt;=100000,"Mid income",D333&gt;100000,"High income")</f>
        <v>low income</v>
      </c>
      <c r="P333" t="str" cm="1">
        <f t="array" ref="P333">_xlfn.IFS(E333&lt;=2,"&lt;=2",E333&gt;2,"&gt;2")</f>
        <v>&lt;=2</v>
      </c>
    </row>
    <row r="334" spans="1:16">
      <c r="A334" s="2">
        <v>11489</v>
      </c>
      <c r="B334" s="2" t="s">
        <v>28</v>
      </c>
      <c r="C334" s="2" t="s">
        <v>17</v>
      </c>
      <c r="D334" s="6">
        <v>20000</v>
      </c>
      <c r="E334" s="2">
        <v>0</v>
      </c>
      <c r="F334" s="2" t="s">
        <v>35</v>
      </c>
      <c r="G334" s="2" t="s">
        <v>31</v>
      </c>
      <c r="H334" s="2" t="s">
        <v>26</v>
      </c>
      <c r="I334" s="2">
        <v>2</v>
      </c>
      <c r="J334" s="4" t="s">
        <v>32</v>
      </c>
      <c r="K334" s="2" t="s">
        <v>22</v>
      </c>
      <c r="L334" s="2">
        <v>35</v>
      </c>
      <c r="M334" t="str" cm="1">
        <f t="array" ref="M334">_xlfn.IFS(L334&lt;=35,"YOUNG_ADULTS",L334&lt;=55,"MIDDLE_AGED",L334&gt;55,"OLD-AGED")</f>
        <v>YOUNG_ADULTS</v>
      </c>
      <c r="N334" s="2" t="s">
        <v>20</v>
      </c>
      <c r="O334" t="str" cm="1">
        <f t="array" ref="O334">_xlfn.IFS(D334&lt;=50000,"low income",D334&lt;=100000,"Mid income",D334&gt;100000,"High income")</f>
        <v>low income</v>
      </c>
      <c r="P334" t="str" cm="1">
        <f t="array" ref="P334">_xlfn.IFS(E334&lt;=2,"&lt;=2",E334&gt;2,"&gt;2")</f>
        <v>&lt;=2</v>
      </c>
    </row>
    <row r="335" spans="1:16">
      <c r="A335" s="2">
        <v>18160</v>
      </c>
      <c r="B335" s="2" t="s">
        <v>16</v>
      </c>
      <c r="C335" s="2" t="s">
        <v>16</v>
      </c>
      <c r="D335" s="6">
        <v>130000</v>
      </c>
      <c r="E335" s="2">
        <v>3</v>
      </c>
      <c r="F335" s="2" t="s">
        <v>33</v>
      </c>
      <c r="G335" s="2" t="s">
        <v>25</v>
      </c>
      <c r="H335" s="2" t="s">
        <v>20</v>
      </c>
      <c r="I335" s="2">
        <v>4</v>
      </c>
      <c r="J335" s="4" t="s">
        <v>29</v>
      </c>
      <c r="K335" s="2" t="s">
        <v>22</v>
      </c>
      <c r="L335" s="2">
        <v>51</v>
      </c>
      <c r="M335" t="str" cm="1">
        <f t="array" ref="M335">_xlfn.IFS(L335&lt;=35,"YOUNG_ADULTS",L335&lt;=55,"MIDDLE_AGED",L335&gt;55,"OLD-AGED")</f>
        <v>MIDDLE_AGED</v>
      </c>
      <c r="N335" s="2" t="s">
        <v>20</v>
      </c>
      <c r="O335" t="str" cm="1">
        <f t="array" ref="O335">_xlfn.IFS(D335&lt;=50000,"low income",D335&lt;=100000,"Mid income",D335&gt;100000,"High income")</f>
        <v>High income</v>
      </c>
      <c r="P335" t="str" cm="1">
        <f t="array" ref="P335">_xlfn.IFS(E335&lt;=2,"&lt;=2",E335&gt;2,"&gt;2")</f>
        <v>&gt;2</v>
      </c>
    </row>
    <row r="336" spans="1:16">
      <c r="A336" s="2">
        <v>25241</v>
      </c>
      <c r="B336" s="2" t="s">
        <v>16</v>
      </c>
      <c r="C336" s="2" t="s">
        <v>16</v>
      </c>
      <c r="D336" s="6">
        <v>90000</v>
      </c>
      <c r="E336" s="2">
        <v>2</v>
      </c>
      <c r="F336" s="2" t="s">
        <v>18</v>
      </c>
      <c r="G336" s="2" t="s">
        <v>25</v>
      </c>
      <c r="H336" s="2" t="s">
        <v>20</v>
      </c>
      <c r="I336" s="2">
        <v>1</v>
      </c>
      <c r="J336" s="4" t="s">
        <v>29</v>
      </c>
      <c r="K336" s="2" t="s">
        <v>30</v>
      </c>
      <c r="L336" s="2">
        <v>47</v>
      </c>
      <c r="M336" t="str" cm="1">
        <f t="array" ref="M336">_xlfn.IFS(L336&lt;=35,"YOUNG_ADULTS",L336&lt;=55,"MIDDLE_AGED",L336&gt;55,"OLD-AGED")</f>
        <v>MIDDLE_AGED</v>
      </c>
      <c r="O336" t="str" cm="1">
        <f t="array" ref="O336">_xlfn.IFS(D336&lt;=50000,"low income",D336&lt;=100000,"Mid income",D336&gt;100000,"High income")</f>
        <v>Mid income</v>
      </c>
      <c r="P336" t="str" cm="1">
        <f t="array" ref="P336">_xlfn.IFS(E336&lt;=2,"&lt;=2",E336&gt;2,"&gt;2")</f>
        <v>&lt;=2</v>
      </c>
    </row>
    <row r="337" spans="1:16">
      <c r="A337" s="2">
        <v>24369</v>
      </c>
      <c r="B337" s="2" t="s">
        <v>16</v>
      </c>
      <c r="C337" s="2" t="s">
        <v>16</v>
      </c>
      <c r="D337" s="6">
        <v>80000</v>
      </c>
      <c r="E337" s="2">
        <v>5</v>
      </c>
      <c r="F337" s="2" t="s">
        <v>37</v>
      </c>
      <c r="G337" s="2" t="s">
        <v>34</v>
      </c>
      <c r="H337" s="2" t="s">
        <v>26</v>
      </c>
      <c r="I337" s="2">
        <v>2</v>
      </c>
      <c r="J337" s="4" t="s">
        <v>21</v>
      </c>
      <c r="K337" s="2" t="s">
        <v>30</v>
      </c>
      <c r="L337" s="2">
        <v>39</v>
      </c>
      <c r="M337" t="str" cm="1">
        <f t="array" ref="M337">_xlfn.IFS(L337&lt;=35,"YOUNG_ADULTS",L337&lt;=55,"MIDDLE_AGED",L337&gt;55,"OLD-AGED")</f>
        <v>MIDDLE_AGED</v>
      </c>
      <c r="O337" t="str" cm="1">
        <f t="array" ref="O337">_xlfn.IFS(D337&lt;=50000,"low income",D337&lt;=100000,"Mid income",D337&gt;100000,"High income")</f>
        <v>Mid income</v>
      </c>
      <c r="P337" t="str" cm="1">
        <f t="array" ref="P337">_xlfn.IFS(E337&lt;=2,"&lt;=2",E337&gt;2,"&gt;2")</f>
        <v>&gt;2</v>
      </c>
    </row>
    <row r="338" spans="1:16">
      <c r="A338" s="2">
        <v>27165</v>
      </c>
      <c r="B338" s="2" t="s">
        <v>28</v>
      </c>
      <c r="C338" s="2" t="s">
        <v>16</v>
      </c>
      <c r="D338" s="6">
        <v>20000</v>
      </c>
      <c r="E338" s="2">
        <v>0</v>
      </c>
      <c r="F338" s="2" t="s">
        <v>35</v>
      </c>
      <c r="G338" s="2" t="s">
        <v>31</v>
      </c>
      <c r="H338" s="2" t="s">
        <v>26</v>
      </c>
      <c r="I338" s="2">
        <v>2</v>
      </c>
      <c r="J338" s="4" t="s">
        <v>21</v>
      </c>
      <c r="K338" s="2" t="s">
        <v>22</v>
      </c>
      <c r="L338" s="2">
        <v>34</v>
      </c>
      <c r="M338" t="str" cm="1">
        <f t="array" ref="M338">_xlfn.IFS(L338&lt;=35,"YOUNG_ADULTS",L338&lt;=55,"MIDDLE_AGED",L338&gt;55,"OLD-AGED")</f>
        <v>YOUNG_ADULTS</v>
      </c>
      <c r="O338" t="str" cm="1">
        <f t="array" ref="O338">_xlfn.IFS(D338&lt;=50000,"low income",D338&lt;=100000,"Mid income",D338&gt;100000,"High income")</f>
        <v>low income</v>
      </c>
      <c r="P338" t="str" cm="1">
        <f t="array" ref="P338">_xlfn.IFS(E338&lt;=2,"&lt;=2",E338&gt;2,"&gt;2")</f>
        <v>&lt;=2</v>
      </c>
    </row>
    <row r="339" spans="1:16">
      <c r="A339" s="2">
        <v>29424</v>
      </c>
      <c r="B339" s="2" t="s">
        <v>16</v>
      </c>
      <c r="C339" s="2" t="s">
        <v>16</v>
      </c>
      <c r="D339" s="6">
        <v>10000</v>
      </c>
      <c r="E339" s="2">
        <v>0</v>
      </c>
      <c r="F339" s="2" t="s">
        <v>35</v>
      </c>
      <c r="G339" s="2" t="s">
        <v>31</v>
      </c>
      <c r="H339" s="2" t="s">
        <v>20</v>
      </c>
      <c r="I339" s="2">
        <v>2</v>
      </c>
      <c r="J339" s="4" t="s">
        <v>21</v>
      </c>
      <c r="K339" s="2" t="s">
        <v>22</v>
      </c>
      <c r="L339" s="2">
        <v>32</v>
      </c>
      <c r="M339" t="str" cm="1">
        <f t="array" ref="M339">_xlfn.IFS(L339&lt;=35,"YOUNG_ADULTS",L339&lt;=55,"MIDDLE_AGED",L339&gt;55,"OLD-AGED")</f>
        <v>YOUNG_ADULTS</v>
      </c>
      <c r="O339" t="str" cm="1">
        <f t="array" ref="O339">_xlfn.IFS(D339&lt;=50000,"low income",D339&lt;=100000,"Mid income",D339&gt;100000,"High income")</f>
        <v>low income</v>
      </c>
      <c r="P339" t="str" cm="1">
        <f t="array" ref="P339">_xlfn.IFS(E339&lt;=2,"&lt;=2",E339&gt;2,"&gt;2")</f>
        <v>&lt;=2</v>
      </c>
    </row>
    <row r="340" spans="1:16">
      <c r="A340" s="2">
        <v>15926</v>
      </c>
      <c r="B340" s="2" t="s">
        <v>28</v>
      </c>
      <c r="C340" s="2" t="s">
        <v>17</v>
      </c>
      <c r="D340" s="6">
        <v>120000</v>
      </c>
      <c r="E340" s="2">
        <v>3</v>
      </c>
      <c r="F340" s="2" t="s">
        <v>33</v>
      </c>
      <c r="G340" s="2" t="s">
        <v>25</v>
      </c>
      <c r="H340" s="2" t="s">
        <v>20</v>
      </c>
      <c r="I340" s="2">
        <v>4</v>
      </c>
      <c r="J340" s="4" t="s">
        <v>29</v>
      </c>
      <c r="K340" s="2" t="s">
        <v>22</v>
      </c>
      <c r="L340" s="2">
        <v>50</v>
      </c>
      <c r="M340" t="str" cm="1">
        <f t="array" ref="M340">_xlfn.IFS(L340&lt;=35,"YOUNG_ADULTS",L340&lt;=55,"MIDDLE_AGED",L340&gt;55,"OLD-AGED")</f>
        <v>MIDDLE_AGED</v>
      </c>
      <c r="N340" s="2" t="s">
        <v>20</v>
      </c>
      <c r="O340" t="str" cm="1">
        <f t="array" ref="O340">_xlfn.IFS(D340&lt;=50000,"low income",D340&lt;=100000,"Mid income",D340&gt;100000,"High income")</f>
        <v>High income</v>
      </c>
      <c r="P340" t="str" cm="1">
        <f t="array" ref="P340">_xlfn.IFS(E340&lt;=2,"&lt;=2",E340&gt;2,"&gt;2")</f>
        <v>&gt;2</v>
      </c>
    </row>
    <row r="341" spans="1:16">
      <c r="A341" s="2">
        <v>14554</v>
      </c>
      <c r="B341" s="2" t="s">
        <v>16</v>
      </c>
      <c r="C341" s="2" t="s">
        <v>16</v>
      </c>
      <c r="D341" s="6">
        <v>20000</v>
      </c>
      <c r="E341" s="2">
        <v>1</v>
      </c>
      <c r="F341" s="2" t="s">
        <v>18</v>
      </c>
      <c r="G341" s="2" t="s">
        <v>24</v>
      </c>
      <c r="H341" s="2" t="s">
        <v>20</v>
      </c>
      <c r="I341" s="2">
        <v>0</v>
      </c>
      <c r="J341" s="4" t="s">
        <v>21</v>
      </c>
      <c r="K341" s="2" t="s">
        <v>22</v>
      </c>
      <c r="L341" s="2">
        <v>66</v>
      </c>
      <c r="M341" t="str" cm="1">
        <f t="array" ref="M341">_xlfn.IFS(L341&lt;=35,"YOUNG_ADULTS",L341&lt;=55,"MIDDLE_AGED",L341&gt;55,"OLD-AGED")</f>
        <v>OLD-AGED</v>
      </c>
      <c r="O341" t="str" cm="1">
        <f t="array" ref="O341">_xlfn.IFS(D341&lt;=50000,"low income",D341&lt;=100000,"Mid income",D341&gt;100000,"High income")</f>
        <v>low income</v>
      </c>
      <c r="P341" t="str" cm="1">
        <f t="array" ref="P341">_xlfn.IFS(E341&lt;=2,"&lt;=2",E341&gt;2,"&gt;2")</f>
        <v>&lt;=2</v>
      </c>
    </row>
    <row r="342" spans="1:16">
      <c r="A342" s="2">
        <v>16468</v>
      </c>
      <c r="B342" s="2" t="s">
        <v>28</v>
      </c>
      <c r="C342" s="2" t="s">
        <v>16</v>
      </c>
      <c r="D342" s="6">
        <v>30000</v>
      </c>
      <c r="E342" s="2">
        <v>0</v>
      </c>
      <c r="F342" s="2" t="s">
        <v>23</v>
      </c>
      <c r="G342" s="2" t="s">
        <v>24</v>
      </c>
      <c r="H342" s="2" t="s">
        <v>20</v>
      </c>
      <c r="I342" s="2">
        <v>1</v>
      </c>
      <c r="J342" s="4" t="s">
        <v>27</v>
      </c>
      <c r="K342" s="2" t="s">
        <v>22</v>
      </c>
      <c r="L342" s="2">
        <v>30</v>
      </c>
      <c r="M342" t="str" cm="1">
        <f t="array" ref="M342">_xlfn.IFS(L342&lt;=35,"YOUNG_ADULTS",L342&lt;=55,"MIDDLE_AGED",L342&gt;55,"OLD-AGED")</f>
        <v>YOUNG_ADULTS</v>
      </c>
      <c r="O342" t="str" cm="1">
        <f t="array" ref="O342">_xlfn.IFS(D342&lt;=50000,"low income",D342&lt;=100000,"Mid income",D342&gt;100000,"High income")</f>
        <v>low income</v>
      </c>
      <c r="P342" t="str" cm="1">
        <f t="array" ref="P342">_xlfn.IFS(E342&lt;=2,"&lt;=2",E342&gt;2,"&gt;2")</f>
        <v>&lt;=2</v>
      </c>
    </row>
    <row r="343" spans="1:16">
      <c r="A343" s="2">
        <v>19174</v>
      </c>
      <c r="B343" s="2" t="s">
        <v>28</v>
      </c>
      <c r="C343" s="2" t="s">
        <v>17</v>
      </c>
      <c r="D343" s="6">
        <v>30000</v>
      </c>
      <c r="E343" s="2">
        <v>0</v>
      </c>
      <c r="F343" s="2" t="s">
        <v>33</v>
      </c>
      <c r="G343" s="2" t="s">
        <v>31</v>
      </c>
      <c r="H343" s="2" t="s">
        <v>26</v>
      </c>
      <c r="I343" s="2">
        <v>1</v>
      </c>
      <c r="J343" s="4" t="s">
        <v>27</v>
      </c>
      <c r="K343" s="2" t="s">
        <v>22</v>
      </c>
      <c r="L343" s="2">
        <v>32</v>
      </c>
      <c r="M343" t="str" cm="1">
        <f t="array" ref="M343">_xlfn.IFS(L343&lt;=35,"YOUNG_ADULTS",L343&lt;=55,"MIDDLE_AGED",L343&gt;55,"OLD-AGED")</f>
        <v>YOUNG_ADULTS</v>
      </c>
      <c r="N343" s="2" t="s">
        <v>20</v>
      </c>
      <c r="O343" t="str" cm="1">
        <f t="array" ref="O343">_xlfn.IFS(D343&lt;=50000,"low income",D343&lt;=100000,"Mid income",D343&gt;100000,"High income")</f>
        <v>low income</v>
      </c>
      <c r="P343" t="str" cm="1">
        <f t="array" ref="P343">_xlfn.IFS(E343&lt;=2,"&lt;=2",E343&gt;2,"&gt;2")</f>
        <v>&lt;=2</v>
      </c>
    </row>
    <row r="344" spans="1:16">
      <c r="A344" s="2">
        <v>19183</v>
      </c>
      <c r="B344" s="2" t="s">
        <v>28</v>
      </c>
      <c r="C344" s="2" t="s">
        <v>16</v>
      </c>
      <c r="D344" s="6">
        <v>10000</v>
      </c>
      <c r="E344" s="2">
        <v>0</v>
      </c>
      <c r="F344" s="2" t="s">
        <v>35</v>
      </c>
      <c r="G344" s="2" t="s">
        <v>31</v>
      </c>
      <c r="H344" s="2" t="s">
        <v>20</v>
      </c>
      <c r="I344" s="2">
        <v>2</v>
      </c>
      <c r="J344" s="4" t="s">
        <v>32</v>
      </c>
      <c r="K344" s="2" t="s">
        <v>22</v>
      </c>
      <c r="L344" s="2">
        <v>35</v>
      </c>
      <c r="M344" t="str" cm="1">
        <f t="array" ref="M344">_xlfn.IFS(L344&lt;=35,"YOUNG_ADULTS",L344&lt;=55,"MIDDLE_AGED",L344&gt;55,"OLD-AGED")</f>
        <v>YOUNG_ADULTS</v>
      </c>
      <c r="O344" t="str" cm="1">
        <f t="array" ref="O344">_xlfn.IFS(D344&lt;=50000,"low income",D344&lt;=100000,"Mid income",D344&gt;100000,"High income")</f>
        <v>low income</v>
      </c>
      <c r="P344" t="str" cm="1">
        <f t="array" ref="P344">_xlfn.IFS(E344&lt;=2,"&lt;=2",E344&gt;2,"&gt;2")</f>
        <v>&lt;=2</v>
      </c>
    </row>
    <row r="345" spans="1:16">
      <c r="A345" s="2">
        <v>13683</v>
      </c>
      <c r="B345" s="2" t="s">
        <v>28</v>
      </c>
      <c r="C345" s="2" t="s">
        <v>17</v>
      </c>
      <c r="D345" s="6">
        <v>30000</v>
      </c>
      <c r="E345" s="2">
        <v>0</v>
      </c>
      <c r="F345" s="2" t="s">
        <v>33</v>
      </c>
      <c r="G345" s="2" t="s">
        <v>31</v>
      </c>
      <c r="H345" s="2" t="s">
        <v>26</v>
      </c>
      <c r="I345" s="2">
        <v>1</v>
      </c>
      <c r="J345" s="4" t="s">
        <v>27</v>
      </c>
      <c r="K345" s="2" t="s">
        <v>22</v>
      </c>
      <c r="L345" s="2">
        <v>32</v>
      </c>
      <c r="M345" t="str" cm="1">
        <f t="array" ref="M345">_xlfn.IFS(L345&lt;=35,"YOUNG_ADULTS",L345&lt;=55,"MIDDLE_AGED",L345&gt;55,"OLD-AGED")</f>
        <v>YOUNG_ADULTS</v>
      </c>
      <c r="O345" t="str" cm="1">
        <f t="array" ref="O345">_xlfn.IFS(D345&lt;=50000,"low income",D345&lt;=100000,"Mid income",D345&gt;100000,"High income")</f>
        <v>low income</v>
      </c>
      <c r="P345" t="str" cm="1">
        <f t="array" ref="P345">_xlfn.IFS(E345&lt;=2,"&lt;=2",E345&gt;2,"&gt;2")</f>
        <v>&lt;=2</v>
      </c>
    </row>
    <row r="346" spans="1:16">
      <c r="A346" s="2">
        <v>17848</v>
      </c>
      <c r="B346" s="2" t="s">
        <v>28</v>
      </c>
      <c r="C346" s="2" t="s">
        <v>16</v>
      </c>
      <c r="D346" s="6">
        <v>30000</v>
      </c>
      <c r="E346" s="2">
        <v>0</v>
      </c>
      <c r="F346" s="2" t="s">
        <v>23</v>
      </c>
      <c r="G346" s="2" t="s">
        <v>24</v>
      </c>
      <c r="H346" s="2" t="s">
        <v>26</v>
      </c>
      <c r="I346" s="2">
        <v>1</v>
      </c>
      <c r="J346" s="4" t="s">
        <v>27</v>
      </c>
      <c r="K346" s="2" t="s">
        <v>22</v>
      </c>
      <c r="L346" s="2">
        <v>31</v>
      </c>
      <c r="M346" t="str" cm="1">
        <f t="array" ref="M346">_xlfn.IFS(L346&lt;=35,"YOUNG_ADULTS",L346&lt;=55,"MIDDLE_AGED",L346&gt;55,"OLD-AGED")</f>
        <v>YOUNG_ADULTS</v>
      </c>
      <c r="N346" s="2" t="s">
        <v>20</v>
      </c>
      <c r="O346" t="str" cm="1">
        <f t="array" ref="O346">_xlfn.IFS(D346&lt;=50000,"low income",D346&lt;=100000,"Mid income",D346&gt;100000,"High income")</f>
        <v>low income</v>
      </c>
      <c r="P346" t="str" cm="1">
        <f t="array" ref="P346">_xlfn.IFS(E346&lt;=2,"&lt;=2",E346&gt;2,"&gt;2")</f>
        <v>&lt;=2</v>
      </c>
    </row>
    <row r="347" spans="1:16">
      <c r="A347" s="2">
        <v>17894</v>
      </c>
      <c r="B347" s="2" t="s">
        <v>16</v>
      </c>
      <c r="C347" s="2" t="s">
        <v>17</v>
      </c>
      <c r="D347" s="6">
        <v>20000</v>
      </c>
      <c r="E347" s="2">
        <v>1</v>
      </c>
      <c r="F347" s="2" t="s">
        <v>18</v>
      </c>
      <c r="G347" s="2" t="s">
        <v>24</v>
      </c>
      <c r="H347" s="2" t="s">
        <v>20</v>
      </c>
      <c r="I347" s="2">
        <v>0</v>
      </c>
      <c r="J347" s="4" t="s">
        <v>21</v>
      </c>
      <c r="K347" s="2" t="s">
        <v>22</v>
      </c>
      <c r="L347" s="2">
        <v>50</v>
      </c>
      <c r="M347" t="str" cm="1">
        <f t="array" ref="M347">_xlfn.IFS(L347&lt;=35,"YOUNG_ADULTS",L347&lt;=55,"MIDDLE_AGED",L347&gt;55,"OLD-AGED")</f>
        <v>MIDDLE_AGED</v>
      </c>
      <c r="N347" s="2" t="s">
        <v>20</v>
      </c>
      <c r="O347" t="str" cm="1">
        <f t="array" ref="O347">_xlfn.IFS(D347&lt;=50000,"low income",D347&lt;=100000,"Mid income",D347&gt;100000,"High income")</f>
        <v>low income</v>
      </c>
      <c r="P347" t="str" cm="1">
        <f t="array" ref="P347">_xlfn.IFS(E347&lt;=2,"&lt;=2",E347&gt;2,"&gt;2")</f>
        <v>&lt;=2</v>
      </c>
    </row>
    <row r="348" spans="1:16">
      <c r="A348" s="2">
        <v>25651</v>
      </c>
      <c r="B348" s="2" t="s">
        <v>16</v>
      </c>
      <c r="C348" s="2" t="s">
        <v>16</v>
      </c>
      <c r="D348" s="6">
        <v>40000</v>
      </c>
      <c r="E348" s="2">
        <v>1</v>
      </c>
      <c r="F348" s="2" t="s">
        <v>18</v>
      </c>
      <c r="G348" s="2" t="s">
        <v>19</v>
      </c>
      <c r="H348" s="2" t="s">
        <v>26</v>
      </c>
      <c r="I348" s="2">
        <v>0</v>
      </c>
      <c r="J348" s="4" t="s">
        <v>21</v>
      </c>
      <c r="K348" s="2" t="s">
        <v>22</v>
      </c>
      <c r="L348" s="2">
        <v>43</v>
      </c>
      <c r="M348" t="str" cm="1">
        <f t="array" ref="M348">_xlfn.IFS(L348&lt;=35,"YOUNG_ADULTS",L348&lt;=55,"MIDDLE_AGED",L348&gt;55,"OLD-AGED")</f>
        <v>MIDDLE_AGED</v>
      </c>
      <c r="N348" s="2" t="s">
        <v>20</v>
      </c>
      <c r="O348" t="str" cm="1">
        <f t="array" ref="O348">_xlfn.IFS(D348&lt;=50000,"low income",D348&lt;=100000,"Mid income",D348&gt;100000,"High income")</f>
        <v>low income</v>
      </c>
      <c r="P348" t="str" cm="1">
        <f t="array" ref="P348">_xlfn.IFS(E348&lt;=2,"&lt;=2",E348&gt;2,"&gt;2")</f>
        <v>&lt;=2</v>
      </c>
    </row>
    <row r="349" spans="1:16">
      <c r="A349" s="2">
        <v>22936</v>
      </c>
      <c r="B349" s="2" t="s">
        <v>28</v>
      </c>
      <c r="C349" s="2" t="s">
        <v>17</v>
      </c>
      <c r="D349" s="6">
        <v>60000</v>
      </c>
      <c r="E349" s="2">
        <v>1</v>
      </c>
      <c r="F349" s="2" t="s">
        <v>23</v>
      </c>
      <c r="G349" s="2" t="s">
        <v>19</v>
      </c>
      <c r="H349" s="2" t="s">
        <v>26</v>
      </c>
      <c r="I349" s="2">
        <v>1</v>
      </c>
      <c r="J349" s="4" t="s">
        <v>21</v>
      </c>
      <c r="K349" s="2" t="s">
        <v>30</v>
      </c>
      <c r="L349" s="2">
        <v>45</v>
      </c>
      <c r="M349" t="str" cm="1">
        <f t="array" ref="M349">_xlfn.IFS(L349&lt;=35,"YOUNG_ADULTS",L349&lt;=55,"MIDDLE_AGED",L349&gt;55,"OLD-AGED")</f>
        <v>MIDDLE_AGED</v>
      </c>
      <c r="N349" s="2" t="s">
        <v>20</v>
      </c>
      <c r="O349" t="str" cm="1">
        <f t="array" ref="O349">_xlfn.IFS(D349&lt;=50000,"low income",D349&lt;=100000,"Mid income",D349&gt;100000,"High income")</f>
        <v>Mid income</v>
      </c>
      <c r="P349" t="str" cm="1">
        <f t="array" ref="P349">_xlfn.IFS(E349&lt;=2,"&lt;=2",E349&gt;2,"&gt;2")</f>
        <v>&lt;=2</v>
      </c>
    </row>
    <row r="350" spans="1:16">
      <c r="A350" s="2">
        <v>23915</v>
      </c>
      <c r="B350" s="2" t="s">
        <v>16</v>
      </c>
      <c r="C350" s="2" t="s">
        <v>16</v>
      </c>
      <c r="D350" s="6">
        <v>20000</v>
      </c>
      <c r="E350" s="2">
        <v>2</v>
      </c>
      <c r="F350" s="2" t="s">
        <v>33</v>
      </c>
      <c r="G350" s="2" t="s">
        <v>31</v>
      </c>
      <c r="H350" s="2" t="s">
        <v>20</v>
      </c>
      <c r="I350" s="2">
        <v>2</v>
      </c>
      <c r="J350" s="4" t="s">
        <v>21</v>
      </c>
      <c r="K350" s="2" t="s">
        <v>22</v>
      </c>
      <c r="L350" s="2">
        <v>42</v>
      </c>
      <c r="M350" t="str" cm="1">
        <f t="array" ref="M350">_xlfn.IFS(L350&lt;=35,"YOUNG_ADULTS",L350&lt;=55,"MIDDLE_AGED",L350&gt;55,"OLD-AGED")</f>
        <v>MIDDLE_AGED</v>
      </c>
      <c r="O350" t="str" cm="1">
        <f t="array" ref="O350">_xlfn.IFS(D350&lt;=50000,"low income",D350&lt;=100000,"Mid income",D350&gt;100000,"High income")</f>
        <v>low income</v>
      </c>
      <c r="P350" t="str" cm="1">
        <f t="array" ref="P350">_xlfn.IFS(E350&lt;=2,"&lt;=2",E350&gt;2,"&gt;2")</f>
        <v>&lt;=2</v>
      </c>
    </row>
    <row r="351" spans="1:16">
      <c r="A351" s="2">
        <v>24121</v>
      </c>
      <c r="B351" s="2" t="s">
        <v>28</v>
      </c>
      <c r="C351" s="2" t="s">
        <v>17</v>
      </c>
      <c r="D351" s="6">
        <v>30000</v>
      </c>
      <c r="E351" s="2">
        <v>0</v>
      </c>
      <c r="F351" s="2" t="s">
        <v>23</v>
      </c>
      <c r="G351" s="2" t="s">
        <v>24</v>
      </c>
      <c r="H351" s="2" t="s">
        <v>26</v>
      </c>
      <c r="I351" s="2">
        <v>1</v>
      </c>
      <c r="J351" s="4" t="s">
        <v>21</v>
      </c>
      <c r="K351" s="2" t="s">
        <v>22</v>
      </c>
      <c r="L351" s="2">
        <v>29</v>
      </c>
      <c r="M351" t="str" cm="1">
        <f t="array" ref="M351">_xlfn.IFS(L351&lt;=35,"YOUNG_ADULTS",L351&lt;=55,"MIDDLE_AGED",L351&gt;55,"OLD-AGED")</f>
        <v>YOUNG_ADULTS</v>
      </c>
      <c r="N351" s="2" t="s">
        <v>20</v>
      </c>
      <c r="O351" t="str" cm="1">
        <f t="array" ref="O351">_xlfn.IFS(D351&lt;=50000,"low income",D351&lt;=100000,"Mid income",D351&gt;100000,"High income")</f>
        <v>low income</v>
      </c>
      <c r="P351" t="str" cm="1">
        <f t="array" ref="P351">_xlfn.IFS(E351&lt;=2,"&lt;=2",E351&gt;2,"&gt;2")</f>
        <v>&lt;=2</v>
      </c>
    </row>
    <row r="352" spans="1:16">
      <c r="A352" s="2">
        <v>27878</v>
      </c>
      <c r="B352" s="2" t="s">
        <v>28</v>
      </c>
      <c r="C352" s="2" t="s">
        <v>16</v>
      </c>
      <c r="D352" s="6">
        <v>20000</v>
      </c>
      <c r="E352" s="2">
        <v>0</v>
      </c>
      <c r="F352" s="2" t="s">
        <v>23</v>
      </c>
      <c r="G352" s="2" t="s">
        <v>31</v>
      </c>
      <c r="H352" s="2" t="s">
        <v>26</v>
      </c>
      <c r="I352" s="2">
        <v>0</v>
      </c>
      <c r="J352" s="4" t="s">
        <v>21</v>
      </c>
      <c r="K352" s="2" t="s">
        <v>30</v>
      </c>
      <c r="L352" s="2">
        <v>28</v>
      </c>
      <c r="M352" t="str" cm="1">
        <f t="array" ref="M352">_xlfn.IFS(L352&lt;=35,"YOUNG_ADULTS",L352&lt;=55,"MIDDLE_AGED",L352&gt;55,"OLD-AGED")</f>
        <v>YOUNG_ADULTS</v>
      </c>
      <c r="N352" s="2" t="s">
        <v>20</v>
      </c>
      <c r="O352" t="str" cm="1">
        <f t="array" ref="O352">_xlfn.IFS(D352&lt;=50000,"low income",D352&lt;=100000,"Mid income",D352&gt;100000,"High income")</f>
        <v>low income</v>
      </c>
      <c r="P352" t="str" cm="1">
        <f t="array" ref="P352">_xlfn.IFS(E352&lt;=2,"&lt;=2",E352&gt;2,"&gt;2")</f>
        <v>&lt;=2</v>
      </c>
    </row>
    <row r="353" spans="1:16">
      <c r="A353" s="2">
        <v>13572</v>
      </c>
      <c r="B353" s="2" t="s">
        <v>28</v>
      </c>
      <c r="C353" s="2" t="s">
        <v>16</v>
      </c>
      <c r="D353" s="6">
        <v>10000</v>
      </c>
      <c r="E353" s="2">
        <v>3</v>
      </c>
      <c r="F353" s="2" t="s">
        <v>33</v>
      </c>
      <c r="G353" s="2" t="s">
        <v>31</v>
      </c>
      <c r="H353" s="2" t="s">
        <v>20</v>
      </c>
      <c r="I353" s="2">
        <v>0</v>
      </c>
      <c r="J353" s="4" t="s">
        <v>21</v>
      </c>
      <c r="K353" s="2" t="s">
        <v>22</v>
      </c>
      <c r="L353" s="2">
        <v>37</v>
      </c>
      <c r="M353" t="str" cm="1">
        <f t="array" ref="M353">_xlfn.IFS(L353&lt;=35,"YOUNG_ADULTS",L353&lt;=55,"MIDDLE_AGED",L353&gt;55,"OLD-AGED")</f>
        <v>MIDDLE_AGED</v>
      </c>
      <c r="N353" s="2" t="s">
        <v>20</v>
      </c>
      <c r="O353" t="str" cm="1">
        <f t="array" ref="O353">_xlfn.IFS(D353&lt;=50000,"low income",D353&lt;=100000,"Mid income",D353&gt;100000,"High income")</f>
        <v>low income</v>
      </c>
      <c r="P353" t="str" cm="1">
        <f t="array" ref="P353">_xlfn.IFS(E353&lt;=2,"&lt;=2",E353&gt;2,"&gt;2")</f>
        <v>&gt;2</v>
      </c>
    </row>
    <row r="354" spans="1:16">
      <c r="A354" s="2">
        <v>27941</v>
      </c>
      <c r="B354" s="2" t="s">
        <v>16</v>
      </c>
      <c r="C354" s="2" t="s">
        <v>17</v>
      </c>
      <c r="D354" s="6">
        <v>80000</v>
      </c>
      <c r="E354" s="2">
        <v>4</v>
      </c>
      <c r="F354" s="2" t="s">
        <v>23</v>
      </c>
      <c r="G354" s="2" t="s">
        <v>25</v>
      </c>
      <c r="H354" s="2" t="s">
        <v>20</v>
      </c>
      <c r="I354" s="2">
        <v>2</v>
      </c>
      <c r="J354" s="4" t="s">
        <v>27</v>
      </c>
      <c r="K354" s="2" t="s">
        <v>22</v>
      </c>
      <c r="L354" s="2">
        <v>53</v>
      </c>
      <c r="M354" t="str" cm="1">
        <f t="array" ref="M354">_xlfn.IFS(L354&lt;=35,"YOUNG_ADULTS",L354&lt;=55,"MIDDLE_AGED",L354&gt;55,"OLD-AGED")</f>
        <v>MIDDLE_AGED</v>
      </c>
      <c r="O354" t="str" cm="1">
        <f t="array" ref="O354">_xlfn.IFS(D354&lt;=50000,"low income",D354&lt;=100000,"Mid income",D354&gt;100000,"High income")</f>
        <v>Mid income</v>
      </c>
      <c r="P354" t="str" cm="1">
        <f t="array" ref="P354">_xlfn.IFS(E354&lt;=2,"&lt;=2",E354&gt;2,"&gt;2")</f>
        <v>&gt;2</v>
      </c>
    </row>
    <row r="355" spans="1:16">
      <c r="A355" s="2">
        <v>26354</v>
      </c>
      <c r="B355" s="2" t="s">
        <v>28</v>
      </c>
      <c r="C355" s="2" t="s">
        <v>16</v>
      </c>
      <c r="D355" s="6">
        <v>40000</v>
      </c>
      <c r="E355" s="2">
        <v>0</v>
      </c>
      <c r="F355" s="2" t="s">
        <v>37</v>
      </c>
      <c r="G355" s="2" t="s">
        <v>24</v>
      </c>
      <c r="H355" s="2" t="s">
        <v>26</v>
      </c>
      <c r="I355" s="2">
        <v>0</v>
      </c>
      <c r="J355" s="4" t="s">
        <v>21</v>
      </c>
      <c r="K355" s="2" t="s">
        <v>22</v>
      </c>
      <c r="L355" s="2">
        <v>38</v>
      </c>
      <c r="M355" t="str" cm="1">
        <f t="array" ref="M355">_xlfn.IFS(L355&lt;=35,"YOUNG_ADULTS",L355&lt;=55,"MIDDLE_AGED",L355&gt;55,"OLD-AGED")</f>
        <v>MIDDLE_AGED</v>
      </c>
      <c r="N355" s="2" t="s">
        <v>20</v>
      </c>
      <c r="O355" t="str" cm="1">
        <f t="array" ref="O355">_xlfn.IFS(D355&lt;=50000,"low income",D355&lt;=100000,"Mid income",D355&gt;100000,"High income")</f>
        <v>low income</v>
      </c>
      <c r="P355" t="str" cm="1">
        <f t="array" ref="P355">_xlfn.IFS(E355&lt;=2,"&lt;=2",E355&gt;2,"&gt;2")</f>
        <v>&lt;=2</v>
      </c>
    </row>
    <row r="356" spans="1:16">
      <c r="A356" s="2">
        <v>14785</v>
      </c>
      <c r="B356" s="2" t="s">
        <v>28</v>
      </c>
      <c r="C356" s="2" t="s">
        <v>16</v>
      </c>
      <c r="D356" s="6">
        <v>30000</v>
      </c>
      <c r="E356" s="2">
        <v>1</v>
      </c>
      <c r="F356" s="2" t="s">
        <v>18</v>
      </c>
      <c r="G356" s="2" t="s">
        <v>24</v>
      </c>
      <c r="H356" s="2" t="s">
        <v>26</v>
      </c>
      <c r="I356" s="2">
        <v>1</v>
      </c>
      <c r="J356" s="4" t="s">
        <v>32</v>
      </c>
      <c r="K356" s="2" t="s">
        <v>22</v>
      </c>
      <c r="L356" s="2">
        <v>39</v>
      </c>
      <c r="M356" t="str" cm="1">
        <f t="array" ref="M356">_xlfn.IFS(L356&lt;=35,"YOUNG_ADULTS",L356&lt;=55,"MIDDLE_AGED",L356&gt;55,"OLD-AGED")</f>
        <v>MIDDLE_AGED</v>
      </c>
      <c r="O356" t="str" cm="1">
        <f t="array" ref="O356">_xlfn.IFS(D356&lt;=50000,"low income",D356&lt;=100000,"Mid income",D356&gt;100000,"High income")</f>
        <v>low income</v>
      </c>
      <c r="P356" t="str" cm="1">
        <f t="array" ref="P356">_xlfn.IFS(E356&lt;=2,"&lt;=2",E356&gt;2,"&gt;2")</f>
        <v>&lt;=2</v>
      </c>
    </row>
    <row r="357" spans="1:16">
      <c r="A357" s="2">
        <v>17238</v>
      </c>
      <c r="B357" s="2" t="s">
        <v>28</v>
      </c>
      <c r="C357" s="2" t="s">
        <v>16</v>
      </c>
      <c r="D357" s="6">
        <v>80000</v>
      </c>
      <c r="E357" s="2">
        <v>0</v>
      </c>
      <c r="F357" s="2" t="s">
        <v>18</v>
      </c>
      <c r="G357" s="2" t="s">
        <v>25</v>
      </c>
      <c r="H357" s="2" t="s">
        <v>20</v>
      </c>
      <c r="I357" s="2">
        <v>3</v>
      </c>
      <c r="J357" s="4" t="s">
        <v>36</v>
      </c>
      <c r="K357" s="2" t="s">
        <v>30</v>
      </c>
      <c r="L357" s="2">
        <v>32</v>
      </c>
      <c r="M357" t="str" cm="1">
        <f t="array" ref="M357">_xlfn.IFS(L357&lt;=35,"YOUNG_ADULTS",L357&lt;=55,"MIDDLE_AGED",L357&gt;55,"OLD-AGED")</f>
        <v>YOUNG_ADULTS</v>
      </c>
      <c r="O357" t="str" cm="1">
        <f t="array" ref="O357">_xlfn.IFS(D357&lt;=50000,"low income",D357&lt;=100000,"Mid income",D357&gt;100000,"High income")</f>
        <v>Mid income</v>
      </c>
      <c r="P357" t="str" cm="1">
        <f t="array" ref="P357">_xlfn.IFS(E357&lt;=2,"&lt;=2",E357&gt;2,"&gt;2")</f>
        <v>&lt;=2</v>
      </c>
    </row>
    <row r="358" spans="1:16">
      <c r="A358" s="2">
        <v>23608</v>
      </c>
      <c r="B358" s="2" t="s">
        <v>16</v>
      </c>
      <c r="C358" s="2" t="s">
        <v>17</v>
      </c>
      <c r="D358" s="6">
        <v>150000</v>
      </c>
      <c r="E358" s="2">
        <v>3</v>
      </c>
      <c r="F358" s="2" t="s">
        <v>33</v>
      </c>
      <c r="G358" s="2" t="s">
        <v>25</v>
      </c>
      <c r="H358" s="2" t="s">
        <v>20</v>
      </c>
      <c r="I358" s="2">
        <v>3</v>
      </c>
      <c r="J358" s="4" t="s">
        <v>21</v>
      </c>
      <c r="K358" s="2" t="s">
        <v>22</v>
      </c>
      <c r="L358" s="2">
        <v>51</v>
      </c>
      <c r="M358" t="str" cm="1">
        <f t="array" ref="M358">_xlfn.IFS(L358&lt;=35,"YOUNG_ADULTS",L358&lt;=55,"MIDDLE_AGED",L358&gt;55,"OLD-AGED")</f>
        <v>MIDDLE_AGED</v>
      </c>
      <c r="N358" s="2" t="s">
        <v>20</v>
      </c>
      <c r="O358" t="str" cm="1">
        <f t="array" ref="O358">_xlfn.IFS(D358&lt;=50000,"low income",D358&lt;=100000,"Mid income",D358&gt;100000,"High income")</f>
        <v>High income</v>
      </c>
      <c r="P358" t="str" cm="1">
        <f t="array" ref="P358">_xlfn.IFS(E358&lt;=2,"&lt;=2",E358&gt;2,"&gt;2")</f>
        <v>&gt;2</v>
      </c>
    </row>
    <row r="359" spans="1:16">
      <c r="A359" s="2">
        <v>22538</v>
      </c>
      <c r="B359" s="2" t="s">
        <v>28</v>
      </c>
      <c r="C359" s="2" t="s">
        <v>17</v>
      </c>
      <c r="D359" s="6">
        <v>10000</v>
      </c>
      <c r="E359" s="2">
        <v>0</v>
      </c>
      <c r="F359" s="2" t="s">
        <v>35</v>
      </c>
      <c r="G359" s="2" t="s">
        <v>31</v>
      </c>
      <c r="H359" s="2" t="s">
        <v>20</v>
      </c>
      <c r="I359" s="2">
        <v>2</v>
      </c>
      <c r="J359" s="4" t="s">
        <v>32</v>
      </c>
      <c r="K359" s="2" t="s">
        <v>22</v>
      </c>
      <c r="L359" s="2">
        <v>33</v>
      </c>
      <c r="M359" t="str" cm="1">
        <f t="array" ref="M359">_xlfn.IFS(L359&lt;=35,"YOUNG_ADULTS",L359&lt;=55,"MIDDLE_AGED",L359&gt;55,"OLD-AGED")</f>
        <v>YOUNG_ADULTS</v>
      </c>
      <c r="O359" t="str" cm="1">
        <f t="array" ref="O359">_xlfn.IFS(D359&lt;=50000,"low income",D359&lt;=100000,"Mid income",D359&gt;100000,"High income")</f>
        <v>low income</v>
      </c>
      <c r="P359" t="str" cm="1">
        <f t="array" ref="P359">_xlfn.IFS(E359&lt;=2,"&lt;=2",E359&gt;2,"&gt;2")</f>
        <v>&lt;=2</v>
      </c>
    </row>
    <row r="360" spans="1:16">
      <c r="A360" s="2">
        <v>12332</v>
      </c>
      <c r="B360" s="2" t="s">
        <v>16</v>
      </c>
      <c r="C360" s="2" t="s">
        <v>16</v>
      </c>
      <c r="D360" s="6">
        <v>90000</v>
      </c>
      <c r="E360" s="2">
        <v>4</v>
      </c>
      <c r="F360" s="2" t="s">
        <v>33</v>
      </c>
      <c r="G360" s="2" t="s">
        <v>34</v>
      </c>
      <c r="H360" s="2" t="s">
        <v>20</v>
      </c>
      <c r="I360" s="2">
        <v>3</v>
      </c>
      <c r="J360" s="4" t="s">
        <v>29</v>
      </c>
      <c r="K360" s="2" t="s">
        <v>22</v>
      </c>
      <c r="L360" s="2">
        <v>58</v>
      </c>
      <c r="M360" t="str" cm="1">
        <f t="array" ref="M360">_xlfn.IFS(L360&lt;=35,"YOUNG_ADULTS",L360&lt;=55,"MIDDLE_AGED",L360&gt;55,"OLD-AGED")</f>
        <v>OLD-AGED</v>
      </c>
      <c r="N360" s="2" t="s">
        <v>20</v>
      </c>
      <c r="O360" t="str" cm="1">
        <f t="array" ref="O360">_xlfn.IFS(D360&lt;=50000,"low income",D360&lt;=100000,"Mid income",D360&gt;100000,"High income")</f>
        <v>Mid income</v>
      </c>
      <c r="P360" t="str" cm="1">
        <f t="array" ref="P360">_xlfn.IFS(E360&lt;=2,"&lt;=2",E360&gt;2,"&gt;2")</f>
        <v>&gt;2</v>
      </c>
    </row>
    <row r="361" spans="1:16">
      <c r="A361" s="2">
        <v>17230</v>
      </c>
      <c r="B361" s="2" t="s">
        <v>16</v>
      </c>
      <c r="C361" s="2" t="s">
        <v>16</v>
      </c>
      <c r="D361" s="6">
        <v>80000</v>
      </c>
      <c r="E361" s="2">
        <v>0</v>
      </c>
      <c r="F361" s="2" t="s">
        <v>18</v>
      </c>
      <c r="G361" s="2" t="s">
        <v>25</v>
      </c>
      <c r="H361" s="2" t="s">
        <v>20</v>
      </c>
      <c r="I361" s="2">
        <v>3</v>
      </c>
      <c r="J361" s="4" t="s">
        <v>36</v>
      </c>
      <c r="K361" s="2" t="s">
        <v>30</v>
      </c>
      <c r="L361" s="2">
        <v>30</v>
      </c>
      <c r="M361" t="str" cm="1">
        <f t="array" ref="M361">_xlfn.IFS(L361&lt;=35,"YOUNG_ADULTS",L361&lt;=55,"MIDDLE_AGED",L361&gt;55,"OLD-AGED")</f>
        <v>YOUNG_ADULTS</v>
      </c>
      <c r="O361" t="str" cm="1">
        <f t="array" ref="O361">_xlfn.IFS(D361&lt;=50000,"low income",D361&lt;=100000,"Mid income",D361&gt;100000,"High income")</f>
        <v>Mid income</v>
      </c>
      <c r="P361" t="str" cm="1">
        <f t="array" ref="P361">_xlfn.IFS(E361&lt;=2,"&lt;=2",E361&gt;2,"&gt;2")</f>
        <v>&lt;=2</v>
      </c>
    </row>
    <row r="362" spans="1:16">
      <c r="A362" s="2">
        <v>13082</v>
      </c>
      <c r="B362" s="2" t="s">
        <v>28</v>
      </c>
      <c r="C362" s="2" t="s">
        <v>16</v>
      </c>
      <c r="D362" s="6">
        <v>130000</v>
      </c>
      <c r="E362" s="2">
        <v>0</v>
      </c>
      <c r="F362" s="2" t="s">
        <v>37</v>
      </c>
      <c r="G362" s="2" t="s">
        <v>34</v>
      </c>
      <c r="H362" s="2" t="s">
        <v>20</v>
      </c>
      <c r="I362" s="2">
        <v>0</v>
      </c>
      <c r="J362" s="4" t="s">
        <v>27</v>
      </c>
      <c r="K362" s="2" t="s">
        <v>30</v>
      </c>
      <c r="L362" s="2">
        <v>48</v>
      </c>
      <c r="M362" t="str" cm="1">
        <f t="array" ref="M362">_xlfn.IFS(L362&lt;=35,"YOUNG_ADULTS",L362&lt;=55,"MIDDLE_AGED",L362&gt;55,"OLD-AGED")</f>
        <v>MIDDLE_AGED</v>
      </c>
      <c r="N362" s="2" t="s">
        <v>20</v>
      </c>
      <c r="O362" t="str" cm="1">
        <f t="array" ref="O362">_xlfn.IFS(D362&lt;=50000,"low income",D362&lt;=100000,"Mid income",D362&gt;100000,"High income")</f>
        <v>High income</v>
      </c>
      <c r="P362" t="str" cm="1">
        <f t="array" ref="P362">_xlfn.IFS(E362&lt;=2,"&lt;=2",E362&gt;2,"&gt;2")</f>
        <v>&lt;=2</v>
      </c>
    </row>
    <row r="363" spans="1:16">
      <c r="A363" s="2">
        <v>22518</v>
      </c>
      <c r="B363" s="2" t="s">
        <v>28</v>
      </c>
      <c r="C363" s="2" t="s">
        <v>17</v>
      </c>
      <c r="D363" s="6">
        <v>30000</v>
      </c>
      <c r="E363" s="2">
        <v>3</v>
      </c>
      <c r="F363" s="2" t="s">
        <v>23</v>
      </c>
      <c r="G363" s="2" t="s">
        <v>24</v>
      </c>
      <c r="H363" s="2" t="s">
        <v>26</v>
      </c>
      <c r="I363" s="2">
        <v>2</v>
      </c>
      <c r="J363" s="4" t="s">
        <v>21</v>
      </c>
      <c r="K363" s="2" t="s">
        <v>22</v>
      </c>
      <c r="L363" s="2">
        <v>27</v>
      </c>
      <c r="M363" t="str" cm="1">
        <f t="array" ref="M363">_xlfn.IFS(L363&lt;=35,"YOUNG_ADULTS",L363&lt;=55,"MIDDLE_AGED",L363&gt;55,"OLD-AGED")</f>
        <v>YOUNG_ADULTS</v>
      </c>
      <c r="N363" s="2" t="s">
        <v>20</v>
      </c>
      <c r="O363" t="str" cm="1">
        <f t="array" ref="O363">_xlfn.IFS(D363&lt;=50000,"low income",D363&lt;=100000,"Mid income",D363&gt;100000,"High income")</f>
        <v>low income</v>
      </c>
      <c r="P363" t="str" cm="1">
        <f t="array" ref="P363">_xlfn.IFS(E363&lt;=2,"&lt;=2",E363&gt;2,"&gt;2")</f>
        <v>&gt;2</v>
      </c>
    </row>
    <row r="364" spans="1:16">
      <c r="A364" s="2">
        <v>13687</v>
      </c>
      <c r="B364" s="2" t="s">
        <v>16</v>
      </c>
      <c r="C364" s="2" t="s">
        <v>16</v>
      </c>
      <c r="D364" s="6">
        <v>40000</v>
      </c>
      <c r="E364" s="2">
        <v>1</v>
      </c>
      <c r="F364" s="2" t="s">
        <v>18</v>
      </c>
      <c r="G364" s="2" t="s">
        <v>19</v>
      </c>
      <c r="H364" s="2" t="s">
        <v>20</v>
      </c>
      <c r="I364" s="2">
        <v>1</v>
      </c>
      <c r="J364" s="4" t="s">
        <v>21</v>
      </c>
      <c r="K364" s="2" t="s">
        <v>22</v>
      </c>
      <c r="L364" s="2">
        <v>33</v>
      </c>
      <c r="M364" t="str" cm="1">
        <f t="array" ref="M364">_xlfn.IFS(L364&lt;=35,"YOUNG_ADULTS",L364&lt;=55,"MIDDLE_AGED",L364&gt;55,"OLD-AGED")</f>
        <v>YOUNG_ADULTS</v>
      </c>
      <c r="N364" s="2" t="s">
        <v>20</v>
      </c>
      <c r="O364" t="str" cm="1">
        <f t="array" ref="O364">_xlfn.IFS(D364&lt;=50000,"low income",D364&lt;=100000,"Mid income",D364&gt;100000,"High income")</f>
        <v>low income</v>
      </c>
      <c r="P364" t="str" cm="1">
        <f t="array" ref="P364">_xlfn.IFS(E364&lt;=2,"&lt;=2",E364&gt;2,"&gt;2")</f>
        <v>&lt;=2</v>
      </c>
    </row>
    <row r="365" spans="1:16">
      <c r="A365" s="2">
        <v>23571</v>
      </c>
      <c r="B365" s="2" t="s">
        <v>16</v>
      </c>
      <c r="C365" s="2" t="s">
        <v>17</v>
      </c>
      <c r="D365" s="6">
        <v>40000</v>
      </c>
      <c r="E365" s="2">
        <v>2</v>
      </c>
      <c r="F365" s="2" t="s">
        <v>18</v>
      </c>
      <c r="G365" s="2" t="s">
        <v>34</v>
      </c>
      <c r="H365" s="2" t="s">
        <v>20</v>
      </c>
      <c r="I365" s="2">
        <v>2</v>
      </c>
      <c r="J365" s="4" t="s">
        <v>21</v>
      </c>
      <c r="K365" s="2" t="s">
        <v>30</v>
      </c>
      <c r="L365" s="2">
        <v>66</v>
      </c>
      <c r="M365" t="str" cm="1">
        <f t="array" ref="M365">_xlfn.IFS(L365&lt;=35,"YOUNG_ADULTS",L365&lt;=55,"MIDDLE_AGED",L365&gt;55,"OLD-AGED")</f>
        <v>OLD-AGED</v>
      </c>
      <c r="N365" s="2" t="s">
        <v>20</v>
      </c>
      <c r="O365" t="str" cm="1">
        <f t="array" ref="O365">_xlfn.IFS(D365&lt;=50000,"low income",D365&lt;=100000,"Mid income",D365&gt;100000,"High income")</f>
        <v>low income</v>
      </c>
      <c r="P365" t="str" cm="1">
        <f t="array" ref="P365">_xlfn.IFS(E365&lt;=2,"&lt;=2",E365&gt;2,"&gt;2")</f>
        <v>&lt;=2</v>
      </c>
    </row>
    <row r="366" spans="1:16">
      <c r="A366" s="2">
        <v>19305</v>
      </c>
      <c r="B366" s="2" t="s">
        <v>28</v>
      </c>
      <c r="C366" s="2" t="s">
        <v>17</v>
      </c>
      <c r="D366" s="6">
        <v>10000</v>
      </c>
      <c r="E366" s="2">
        <v>2</v>
      </c>
      <c r="F366" s="2" t="s">
        <v>33</v>
      </c>
      <c r="G366" s="2" t="s">
        <v>31</v>
      </c>
      <c r="H366" s="2" t="s">
        <v>20</v>
      </c>
      <c r="I366" s="2">
        <v>1</v>
      </c>
      <c r="J366" s="4" t="s">
        <v>21</v>
      </c>
      <c r="K366" s="2" t="s">
        <v>22</v>
      </c>
      <c r="L366" s="2">
        <v>38</v>
      </c>
      <c r="M366" t="str" cm="1">
        <f t="array" ref="M366">_xlfn.IFS(L366&lt;=35,"YOUNG_ADULTS",L366&lt;=55,"MIDDLE_AGED",L366&gt;55,"OLD-AGED")</f>
        <v>MIDDLE_AGED</v>
      </c>
      <c r="N366" s="2" t="s">
        <v>20</v>
      </c>
      <c r="O366" t="str" cm="1">
        <f t="array" ref="O366">_xlfn.IFS(D366&lt;=50000,"low income",D366&lt;=100000,"Mid income",D366&gt;100000,"High income")</f>
        <v>low income</v>
      </c>
      <c r="P366" t="str" cm="1">
        <f t="array" ref="P366">_xlfn.IFS(E366&lt;=2,"&lt;=2",E366&gt;2,"&gt;2")</f>
        <v>&lt;=2</v>
      </c>
    </row>
    <row r="367" spans="1:16">
      <c r="A367" s="2">
        <v>22636</v>
      </c>
      <c r="B367" s="2" t="s">
        <v>28</v>
      </c>
      <c r="C367" s="2" t="s">
        <v>17</v>
      </c>
      <c r="D367" s="6">
        <v>40000</v>
      </c>
      <c r="E367" s="2">
        <v>0</v>
      </c>
      <c r="F367" s="2" t="s">
        <v>18</v>
      </c>
      <c r="G367" s="2" t="s">
        <v>24</v>
      </c>
      <c r="H367" s="2" t="s">
        <v>26</v>
      </c>
      <c r="I367" s="2">
        <v>0</v>
      </c>
      <c r="J367" s="4" t="s">
        <v>21</v>
      </c>
      <c r="K367" s="2" t="s">
        <v>22</v>
      </c>
      <c r="L367" s="2">
        <v>38</v>
      </c>
      <c r="M367" t="str" cm="1">
        <f t="array" ref="M367">_xlfn.IFS(L367&lt;=35,"YOUNG_ADULTS",L367&lt;=55,"MIDDLE_AGED",L367&gt;55,"OLD-AGED")</f>
        <v>MIDDLE_AGED</v>
      </c>
      <c r="N367" s="2" t="s">
        <v>20</v>
      </c>
      <c r="O367" t="str" cm="1">
        <f t="array" ref="O367">_xlfn.IFS(D367&lt;=50000,"low income",D367&lt;=100000,"Mid income",D367&gt;100000,"High income")</f>
        <v>low income</v>
      </c>
      <c r="P367" t="str" cm="1">
        <f t="array" ref="P367">_xlfn.IFS(E367&lt;=2,"&lt;=2",E367&gt;2,"&gt;2")</f>
        <v>&lt;=2</v>
      </c>
    </row>
    <row r="368" spans="1:16">
      <c r="A368" s="2">
        <v>17310</v>
      </c>
      <c r="B368" s="2" t="s">
        <v>16</v>
      </c>
      <c r="C368" s="2" t="s">
        <v>16</v>
      </c>
      <c r="D368" s="6">
        <v>60000</v>
      </c>
      <c r="E368" s="2">
        <v>1</v>
      </c>
      <c r="F368" s="2" t="s">
        <v>23</v>
      </c>
      <c r="G368" s="2" t="s">
        <v>19</v>
      </c>
      <c r="H368" s="2" t="s">
        <v>20</v>
      </c>
      <c r="I368" s="2">
        <v>1</v>
      </c>
      <c r="J368" s="4" t="s">
        <v>21</v>
      </c>
      <c r="K368" s="2" t="s">
        <v>30</v>
      </c>
      <c r="L368" s="2">
        <v>45</v>
      </c>
      <c r="M368" t="str" cm="1">
        <f t="array" ref="M368">_xlfn.IFS(L368&lt;=35,"YOUNG_ADULTS",L368&lt;=55,"MIDDLE_AGED",L368&gt;55,"OLD-AGED")</f>
        <v>MIDDLE_AGED</v>
      </c>
      <c r="N368" s="2" t="s">
        <v>20</v>
      </c>
      <c r="O368" t="str" cm="1">
        <f t="array" ref="O368">_xlfn.IFS(D368&lt;=50000,"low income",D368&lt;=100000,"Mid income",D368&gt;100000,"High income")</f>
        <v>Mid income</v>
      </c>
      <c r="P368" t="str" cm="1">
        <f t="array" ref="P368">_xlfn.IFS(E368&lt;=2,"&lt;=2",E368&gt;2,"&gt;2")</f>
        <v>&lt;=2</v>
      </c>
    </row>
    <row r="369" spans="1:16">
      <c r="A369" s="2">
        <v>12133</v>
      </c>
      <c r="B369" s="2" t="s">
        <v>16</v>
      </c>
      <c r="C369" s="2" t="s">
        <v>17</v>
      </c>
      <c r="D369" s="6">
        <v>130000</v>
      </c>
      <c r="E369" s="2">
        <v>3</v>
      </c>
      <c r="F369" s="2" t="s">
        <v>23</v>
      </c>
      <c r="G369" s="2" t="s">
        <v>25</v>
      </c>
      <c r="H369" s="2" t="s">
        <v>20</v>
      </c>
      <c r="I369" s="2">
        <v>3</v>
      </c>
      <c r="J369" s="4" t="s">
        <v>29</v>
      </c>
      <c r="K369" s="2" t="s">
        <v>22</v>
      </c>
      <c r="L369" s="2">
        <v>50</v>
      </c>
      <c r="M369" t="str" cm="1">
        <f t="array" ref="M369">_xlfn.IFS(L369&lt;=35,"YOUNG_ADULTS",L369&lt;=55,"MIDDLE_AGED",L369&gt;55,"OLD-AGED")</f>
        <v>MIDDLE_AGED</v>
      </c>
      <c r="N369" s="2" t="s">
        <v>20</v>
      </c>
      <c r="O369" t="str" cm="1">
        <f t="array" ref="O369">_xlfn.IFS(D369&lt;=50000,"low income",D369&lt;=100000,"Mid income",D369&gt;100000,"High income")</f>
        <v>High income</v>
      </c>
      <c r="P369" t="str" cm="1">
        <f t="array" ref="P369">_xlfn.IFS(E369&lt;=2,"&lt;=2",E369&gt;2,"&gt;2")</f>
        <v>&gt;2</v>
      </c>
    </row>
    <row r="370" spans="1:16">
      <c r="A370" s="2">
        <v>25918</v>
      </c>
      <c r="B370" s="2" t="s">
        <v>28</v>
      </c>
      <c r="C370" s="2" t="s">
        <v>17</v>
      </c>
      <c r="D370" s="6">
        <v>30000</v>
      </c>
      <c r="E370" s="2">
        <v>2</v>
      </c>
      <c r="F370" s="2" t="s">
        <v>23</v>
      </c>
      <c r="G370" s="2" t="s">
        <v>24</v>
      </c>
      <c r="H370" s="2" t="s">
        <v>26</v>
      </c>
      <c r="I370" s="2">
        <v>2</v>
      </c>
      <c r="J370" s="4" t="s">
        <v>29</v>
      </c>
      <c r="K370" s="2" t="s">
        <v>30</v>
      </c>
      <c r="L370" s="2">
        <v>60</v>
      </c>
      <c r="M370" t="str" cm="1">
        <f t="array" ref="M370">_xlfn.IFS(L370&lt;=35,"YOUNG_ADULTS",L370&lt;=55,"MIDDLE_AGED",L370&gt;55,"OLD-AGED")</f>
        <v>OLD-AGED</v>
      </c>
      <c r="N370" s="2" t="s">
        <v>20</v>
      </c>
      <c r="O370" t="str" cm="1">
        <f t="array" ref="O370">_xlfn.IFS(D370&lt;=50000,"low income",D370&lt;=100000,"Mid income",D370&gt;100000,"High income")</f>
        <v>low income</v>
      </c>
      <c r="P370" t="str" cm="1">
        <f t="array" ref="P370">_xlfn.IFS(E370&lt;=2,"&lt;=2",E370&gt;2,"&gt;2")</f>
        <v>&lt;=2</v>
      </c>
    </row>
    <row r="371" spans="1:16">
      <c r="A371" s="2">
        <v>25752</v>
      </c>
      <c r="B371" s="2" t="s">
        <v>28</v>
      </c>
      <c r="C371" s="2" t="s">
        <v>17</v>
      </c>
      <c r="D371" s="6">
        <v>20000</v>
      </c>
      <c r="E371" s="2">
        <v>2</v>
      </c>
      <c r="F371" s="2" t="s">
        <v>23</v>
      </c>
      <c r="G371" s="2" t="s">
        <v>31</v>
      </c>
      <c r="H371" s="2" t="s">
        <v>26</v>
      </c>
      <c r="I371" s="2">
        <v>1</v>
      </c>
      <c r="J371" s="4" t="s">
        <v>21</v>
      </c>
      <c r="K371" s="2" t="s">
        <v>22</v>
      </c>
      <c r="L371" s="2">
        <v>53</v>
      </c>
      <c r="M371" t="str" cm="1">
        <f t="array" ref="M371">_xlfn.IFS(L371&lt;=35,"YOUNG_ADULTS",L371&lt;=55,"MIDDLE_AGED",L371&gt;55,"OLD-AGED")</f>
        <v>MIDDLE_AGED</v>
      </c>
      <c r="N371" s="2" t="s">
        <v>20</v>
      </c>
      <c r="O371" t="str" cm="1">
        <f t="array" ref="O371">_xlfn.IFS(D371&lt;=50000,"low income",D371&lt;=100000,"Mid income",D371&gt;100000,"High income")</f>
        <v>low income</v>
      </c>
      <c r="P371" t="str" cm="1">
        <f t="array" ref="P371">_xlfn.IFS(E371&lt;=2,"&lt;=2",E371&gt;2,"&gt;2")</f>
        <v>&lt;=2</v>
      </c>
    </row>
    <row r="372" spans="1:16">
      <c r="A372" s="2">
        <v>17324</v>
      </c>
      <c r="B372" s="2" t="s">
        <v>16</v>
      </c>
      <c r="C372" s="2" t="s">
        <v>17</v>
      </c>
      <c r="D372" s="6">
        <v>100000</v>
      </c>
      <c r="E372" s="2">
        <v>4</v>
      </c>
      <c r="F372" s="2" t="s">
        <v>18</v>
      </c>
      <c r="G372" s="2" t="s">
        <v>25</v>
      </c>
      <c r="H372" s="2" t="s">
        <v>20</v>
      </c>
      <c r="I372" s="2">
        <v>1</v>
      </c>
      <c r="J372" s="4" t="s">
        <v>36</v>
      </c>
      <c r="K372" s="2" t="s">
        <v>30</v>
      </c>
      <c r="L372" s="2">
        <v>46</v>
      </c>
      <c r="M372" t="str" cm="1">
        <f t="array" ref="M372">_xlfn.IFS(L372&lt;=35,"YOUNG_ADULTS",L372&lt;=55,"MIDDLE_AGED",L372&gt;55,"OLD-AGED")</f>
        <v>MIDDLE_AGED</v>
      </c>
      <c r="O372" t="str" cm="1">
        <f t="array" ref="O372">_xlfn.IFS(D372&lt;=50000,"low income",D372&lt;=100000,"Mid income",D372&gt;100000,"High income")</f>
        <v>Mid income</v>
      </c>
      <c r="P372" t="str" cm="1">
        <f t="array" ref="P372">_xlfn.IFS(E372&lt;=2,"&lt;=2",E372&gt;2,"&gt;2")</f>
        <v>&gt;2</v>
      </c>
    </row>
    <row r="373" spans="1:16">
      <c r="A373" s="2">
        <v>22918</v>
      </c>
      <c r="B373" s="2" t="s">
        <v>28</v>
      </c>
      <c r="C373" s="2" t="s">
        <v>16</v>
      </c>
      <c r="D373" s="6">
        <v>80000</v>
      </c>
      <c r="E373" s="2">
        <v>5</v>
      </c>
      <c r="F373" s="2" t="s">
        <v>37</v>
      </c>
      <c r="G373" s="2" t="s">
        <v>34</v>
      </c>
      <c r="H373" s="2" t="s">
        <v>20</v>
      </c>
      <c r="I373" s="2">
        <v>3</v>
      </c>
      <c r="J373" s="4" t="s">
        <v>21</v>
      </c>
      <c r="K373" s="2" t="s">
        <v>30</v>
      </c>
      <c r="L373" s="2">
        <v>50</v>
      </c>
      <c r="M373" t="str" cm="1">
        <f t="array" ref="M373">_xlfn.IFS(L373&lt;=35,"YOUNG_ADULTS",L373&lt;=55,"MIDDLE_AGED",L373&gt;55,"OLD-AGED")</f>
        <v>MIDDLE_AGED</v>
      </c>
      <c r="O373" t="str" cm="1">
        <f t="array" ref="O373">_xlfn.IFS(D373&lt;=50000,"low income",D373&lt;=100000,"Mid income",D373&gt;100000,"High income")</f>
        <v>Mid income</v>
      </c>
      <c r="P373" t="str" cm="1">
        <f t="array" ref="P373">_xlfn.IFS(E373&lt;=2,"&lt;=2",E373&gt;2,"&gt;2")</f>
        <v>&gt;2</v>
      </c>
    </row>
    <row r="374" spans="1:16">
      <c r="A374" s="2">
        <v>12510</v>
      </c>
      <c r="B374" s="2" t="s">
        <v>16</v>
      </c>
      <c r="C374" s="2" t="s">
        <v>16</v>
      </c>
      <c r="D374" s="6">
        <v>40000</v>
      </c>
      <c r="E374" s="2">
        <v>1</v>
      </c>
      <c r="F374" s="2" t="s">
        <v>18</v>
      </c>
      <c r="G374" s="2" t="s">
        <v>19</v>
      </c>
      <c r="H374" s="2" t="s">
        <v>20</v>
      </c>
      <c r="I374" s="2">
        <v>1</v>
      </c>
      <c r="J374" s="4" t="s">
        <v>21</v>
      </c>
      <c r="K374" s="2" t="s">
        <v>22</v>
      </c>
      <c r="L374" s="2">
        <v>43</v>
      </c>
      <c r="M374" t="str" cm="1">
        <f t="array" ref="M374">_xlfn.IFS(L374&lt;=35,"YOUNG_ADULTS",L374&lt;=55,"MIDDLE_AGED",L374&gt;55,"OLD-AGED")</f>
        <v>MIDDLE_AGED</v>
      </c>
      <c r="N374" s="2" t="s">
        <v>20</v>
      </c>
      <c r="O374" t="str" cm="1">
        <f t="array" ref="O374">_xlfn.IFS(D374&lt;=50000,"low income",D374&lt;=100000,"Mid income",D374&gt;100000,"High income")</f>
        <v>low income</v>
      </c>
      <c r="P374" t="str" cm="1">
        <f t="array" ref="P374">_xlfn.IFS(E374&lt;=2,"&lt;=2",E374&gt;2,"&gt;2")</f>
        <v>&lt;=2</v>
      </c>
    </row>
    <row r="375" spans="1:16">
      <c r="A375" s="2">
        <v>25512</v>
      </c>
      <c r="B375" s="2" t="s">
        <v>28</v>
      </c>
      <c r="C375" s="2" t="s">
        <v>16</v>
      </c>
      <c r="D375" s="6">
        <v>20000</v>
      </c>
      <c r="E375" s="2">
        <v>0</v>
      </c>
      <c r="F375" s="2" t="s">
        <v>33</v>
      </c>
      <c r="G375" s="2" t="s">
        <v>31</v>
      </c>
      <c r="H375" s="2" t="s">
        <v>26</v>
      </c>
      <c r="I375" s="2">
        <v>1</v>
      </c>
      <c r="J375" s="4" t="s">
        <v>27</v>
      </c>
      <c r="K375" s="2" t="s">
        <v>22</v>
      </c>
      <c r="L375" s="2">
        <v>30</v>
      </c>
      <c r="M375" t="str" cm="1">
        <f t="array" ref="M375">_xlfn.IFS(L375&lt;=35,"YOUNG_ADULTS",L375&lt;=55,"MIDDLE_AGED",L375&gt;55,"OLD-AGED")</f>
        <v>YOUNG_ADULTS</v>
      </c>
      <c r="O375" t="str" cm="1">
        <f t="array" ref="O375">_xlfn.IFS(D375&lt;=50000,"low income",D375&lt;=100000,"Mid income",D375&gt;100000,"High income")</f>
        <v>low income</v>
      </c>
      <c r="P375" t="str" cm="1">
        <f t="array" ref="P375">_xlfn.IFS(E375&lt;=2,"&lt;=2",E375&gt;2,"&gt;2")</f>
        <v>&lt;=2</v>
      </c>
    </row>
    <row r="376" spans="1:16">
      <c r="A376" s="2">
        <v>16179</v>
      </c>
      <c r="B376" s="2" t="s">
        <v>28</v>
      </c>
      <c r="C376" s="2" t="s">
        <v>17</v>
      </c>
      <c r="D376" s="6">
        <v>80000</v>
      </c>
      <c r="E376" s="2">
        <v>5</v>
      </c>
      <c r="F376" s="2" t="s">
        <v>18</v>
      </c>
      <c r="G376" s="2" t="s">
        <v>25</v>
      </c>
      <c r="H376" s="2" t="s">
        <v>20</v>
      </c>
      <c r="I376" s="2">
        <v>4</v>
      </c>
      <c r="J376" s="4" t="s">
        <v>32</v>
      </c>
      <c r="K376" s="2" t="s">
        <v>30</v>
      </c>
      <c r="L376" s="2">
        <v>38</v>
      </c>
      <c r="M376" t="str" cm="1">
        <f t="array" ref="M376">_xlfn.IFS(L376&lt;=35,"YOUNG_ADULTS",L376&lt;=55,"MIDDLE_AGED",L376&gt;55,"OLD-AGED")</f>
        <v>MIDDLE_AGED</v>
      </c>
      <c r="O376" t="str" cm="1">
        <f t="array" ref="O376">_xlfn.IFS(D376&lt;=50000,"low income",D376&lt;=100000,"Mid income",D376&gt;100000,"High income")</f>
        <v>Mid income</v>
      </c>
      <c r="P376" t="str" cm="1">
        <f t="array" ref="P376">_xlfn.IFS(E376&lt;=2,"&lt;=2",E376&gt;2,"&gt;2")</f>
        <v>&gt;2</v>
      </c>
    </row>
    <row r="377" spans="1:16">
      <c r="A377" s="2">
        <v>15628</v>
      </c>
      <c r="B377" s="2" t="s">
        <v>16</v>
      </c>
      <c r="C377" s="2" t="s">
        <v>17</v>
      </c>
      <c r="D377" s="6">
        <v>40000</v>
      </c>
      <c r="E377" s="2">
        <v>1</v>
      </c>
      <c r="F377" s="2" t="s">
        <v>18</v>
      </c>
      <c r="G377" s="2" t="s">
        <v>19</v>
      </c>
      <c r="H377" s="2" t="s">
        <v>20</v>
      </c>
      <c r="I377" s="2">
        <v>1</v>
      </c>
      <c r="J377" s="4" t="s">
        <v>21</v>
      </c>
      <c r="K377" s="2" t="s">
        <v>22</v>
      </c>
      <c r="L377" s="2">
        <v>89</v>
      </c>
      <c r="M377" t="str" cm="1">
        <f t="array" ref="M377">_xlfn.IFS(L377&lt;=35,"YOUNG_ADULTS",L377&lt;=55,"MIDDLE_AGED",L377&gt;55,"OLD-AGED")</f>
        <v>OLD-AGED</v>
      </c>
      <c r="O377" t="str" cm="1">
        <f t="array" ref="O377">_xlfn.IFS(D377&lt;=50000,"low income",D377&lt;=100000,"Mid income",D377&gt;100000,"High income")</f>
        <v>low income</v>
      </c>
      <c r="P377" t="str" cm="1">
        <f t="array" ref="P377">_xlfn.IFS(E377&lt;=2,"&lt;=2",E377&gt;2,"&gt;2")</f>
        <v>&lt;=2</v>
      </c>
    </row>
    <row r="378" spans="1:16">
      <c r="A378" s="2">
        <v>20977</v>
      </c>
      <c r="B378" s="2" t="s">
        <v>16</v>
      </c>
      <c r="C378" s="2" t="s">
        <v>16</v>
      </c>
      <c r="D378" s="6">
        <v>20000</v>
      </c>
      <c r="E378" s="2">
        <v>1</v>
      </c>
      <c r="F378" s="2" t="s">
        <v>18</v>
      </c>
      <c r="G378" s="2" t="s">
        <v>24</v>
      </c>
      <c r="H378" s="2" t="s">
        <v>20</v>
      </c>
      <c r="I378" s="2">
        <v>0</v>
      </c>
      <c r="J378" s="4" t="s">
        <v>21</v>
      </c>
      <c r="K378" s="2" t="s">
        <v>22</v>
      </c>
      <c r="L378" s="2">
        <v>64</v>
      </c>
      <c r="M378" t="str" cm="1">
        <f t="array" ref="M378">_xlfn.IFS(L378&lt;=35,"YOUNG_ADULTS",L378&lt;=55,"MIDDLE_AGED",L378&gt;55,"OLD-AGED")</f>
        <v>OLD-AGED</v>
      </c>
      <c r="N378" s="2" t="s">
        <v>20</v>
      </c>
      <c r="O378" t="str" cm="1">
        <f t="array" ref="O378">_xlfn.IFS(D378&lt;=50000,"low income",D378&lt;=100000,"Mid income",D378&gt;100000,"High income")</f>
        <v>low income</v>
      </c>
      <c r="P378" t="str" cm="1">
        <f t="array" ref="P378">_xlfn.IFS(E378&lt;=2,"&lt;=2",E378&gt;2,"&gt;2")</f>
        <v>&lt;=2</v>
      </c>
    </row>
    <row r="379" spans="1:16">
      <c r="A379" s="2">
        <v>18140</v>
      </c>
      <c r="B379" s="2" t="s">
        <v>16</v>
      </c>
      <c r="C379" s="2" t="s">
        <v>16</v>
      </c>
      <c r="D379" s="6">
        <v>130000</v>
      </c>
      <c r="E379" s="2">
        <v>3</v>
      </c>
      <c r="F379" s="2" t="s">
        <v>23</v>
      </c>
      <c r="G379" s="2" t="s">
        <v>25</v>
      </c>
      <c r="H379" s="2" t="s">
        <v>26</v>
      </c>
      <c r="I379" s="2">
        <v>3</v>
      </c>
      <c r="J379" s="4" t="s">
        <v>29</v>
      </c>
      <c r="K379" s="2" t="s">
        <v>22</v>
      </c>
      <c r="L379" s="2">
        <v>51</v>
      </c>
      <c r="M379" t="str" cm="1">
        <f t="array" ref="M379">_xlfn.IFS(L379&lt;=35,"YOUNG_ADULTS",L379&lt;=55,"MIDDLE_AGED",L379&gt;55,"OLD-AGED")</f>
        <v>MIDDLE_AGED</v>
      </c>
      <c r="N379" s="2" t="s">
        <v>20</v>
      </c>
      <c r="O379" t="str" cm="1">
        <f t="array" ref="O379">_xlfn.IFS(D379&lt;=50000,"low income",D379&lt;=100000,"Mid income",D379&gt;100000,"High income")</f>
        <v>High income</v>
      </c>
      <c r="P379" t="str" cm="1">
        <f t="array" ref="P379">_xlfn.IFS(E379&lt;=2,"&lt;=2",E379&gt;2,"&gt;2")</f>
        <v>&gt;2</v>
      </c>
    </row>
    <row r="380" spans="1:16">
      <c r="A380" s="2">
        <v>20417</v>
      </c>
      <c r="B380" s="2" t="s">
        <v>16</v>
      </c>
      <c r="C380" s="2" t="s">
        <v>16</v>
      </c>
      <c r="D380" s="6">
        <v>30000</v>
      </c>
      <c r="E380" s="2">
        <v>3</v>
      </c>
      <c r="F380" s="2" t="s">
        <v>23</v>
      </c>
      <c r="G380" s="2" t="s">
        <v>24</v>
      </c>
      <c r="H380" s="2" t="s">
        <v>26</v>
      </c>
      <c r="I380" s="2">
        <v>2</v>
      </c>
      <c r="J380" s="4" t="s">
        <v>29</v>
      </c>
      <c r="K380" s="2" t="s">
        <v>30</v>
      </c>
      <c r="L380" s="2">
        <v>56</v>
      </c>
      <c r="M380" t="str" cm="1">
        <f t="array" ref="M380">_xlfn.IFS(L380&lt;=35,"YOUNG_ADULTS",L380&lt;=55,"MIDDLE_AGED",L380&gt;55,"OLD-AGED")</f>
        <v>OLD-AGED</v>
      </c>
      <c r="O380" t="str" cm="1">
        <f t="array" ref="O380">_xlfn.IFS(D380&lt;=50000,"low income",D380&lt;=100000,"Mid income",D380&gt;100000,"High income")</f>
        <v>low income</v>
      </c>
      <c r="P380" t="str" cm="1">
        <f t="array" ref="P380">_xlfn.IFS(E380&lt;=2,"&lt;=2",E380&gt;2,"&gt;2")</f>
        <v>&gt;2</v>
      </c>
    </row>
    <row r="381" spans="1:16">
      <c r="A381" s="2">
        <v>18267</v>
      </c>
      <c r="B381" s="2" t="s">
        <v>16</v>
      </c>
      <c r="C381" s="2" t="s">
        <v>16</v>
      </c>
      <c r="D381" s="6">
        <v>60000</v>
      </c>
      <c r="E381" s="2">
        <v>3</v>
      </c>
      <c r="F381" s="2" t="s">
        <v>18</v>
      </c>
      <c r="G381" s="2" t="s">
        <v>25</v>
      </c>
      <c r="H381" s="2" t="s">
        <v>20</v>
      </c>
      <c r="I381" s="2">
        <v>2</v>
      </c>
      <c r="J381" s="4" t="s">
        <v>29</v>
      </c>
      <c r="K381" s="2" t="s">
        <v>30</v>
      </c>
      <c r="L381" s="2">
        <v>43</v>
      </c>
      <c r="M381" t="str" cm="1">
        <f t="array" ref="M381">_xlfn.IFS(L381&lt;=35,"YOUNG_ADULTS",L381&lt;=55,"MIDDLE_AGED",L381&gt;55,"OLD-AGED")</f>
        <v>MIDDLE_AGED</v>
      </c>
      <c r="O381" t="str" cm="1">
        <f t="array" ref="O381">_xlfn.IFS(D381&lt;=50000,"low income",D381&lt;=100000,"Mid income",D381&gt;100000,"High income")</f>
        <v>Mid income</v>
      </c>
      <c r="P381" t="str" cm="1">
        <f t="array" ref="P381">_xlfn.IFS(E381&lt;=2,"&lt;=2",E381&gt;2,"&gt;2")</f>
        <v>&gt;2</v>
      </c>
    </row>
    <row r="382" spans="1:16">
      <c r="A382" s="2">
        <v>13620</v>
      </c>
      <c r="B382" s="2" t="s">
        <v>28</v>
      </c>
      <c r="C382" s="2" t="s">
        <v>16</v>
      </c>
      <c r="D382" s="6">
        <v>70000</v>
      </c>
      <c r="E382" s="2">
        <v>0</v>
      </c>
      <c r="F382" s="2" t="s">
        <v>18</v>
      </c>
      <c r="G382" s="2" t="s">
        <v>25</v>
      </c>
      <c r="H382" s="2" t="s">
        <v>26</v>
      </c>
      <c r="I382" s="2">
        <v>3</v>
      </c>
      <c r="J382" s="4" t="s">
        <v>36</v>
      </c>
      <c r="K382" s="2" t="s">
        <v>30</v>
      </c>
      <c r="L382" s="2">
        <v>30</v>
      </c>
      <c r="M382" t="str" cm="1">
        <f t="array" ref="M382">_xlfn.IFS(L382&lt;=35,"YOUNG_ADULTS",L382&lt;=55,"MIDDLE_AGED",L382&gt;55,"OLD-AGED")</f>
        <v>YOUNG_ADULTS</v>
      </c>
      <c r="N382" s="2" t="s">
        <v>20</v>
      </c>
      <c r="O382" t="str" cm="1">
        <f t="array" ref="O382">_xlfn.IFS(D382&lt;=50000,"low income",D382&lt;=100000,"Mid income",D382&gt;100000,"High income")</f>
        <v>Mid income</v>
      </c>
      <c r="P382" t="str" cm="1">
        <f t="array" ref="P382">_xlfn.IFS(E382&lt;=2,"&lt;=2",E382&gt;2,"&gt;2")</f>
        <v>&lt;=2</v>
      </c>
    </row>
    <row r="383" spans="1:16">
      <c r="A383" s="2">
        <v>22974</v>
      </c>
      <c r="B383" s="2" t="s">
        <v>16</v>
      </c>
      <c r="C383" s="2" t="s">
        <v>17</v>
      </c>
      <c r="D383" s="6">
        <v>30000</v>
      </c>
      <c r="E383" s="2">
        <v>2</v>
      </c>
      <c r="F383" s="2" t="s">
        <v>23</v>
      </c>
      <c r="G383" s="2" t="s">
        <v>24</v>
      </c>
      <c r="H383" s="2" t="s">
        <v>20</v>
      </c>
      <c r="I383" s="2">
        <v>2</v>
      </c>
      <c r="J383" s="4" t="s">
        <v>29</v>
      </c>
      <c r="K383" s="2" t="s">
        <v>30</v>
      </c>
      <c r="L383" s="2">
        <v>69</v>
      </c>
      <c r="M383" t="str" cm="1">
        <f t="array" ref="M383">_xlfn.IFS(L383&lt;=35,"YOUNG_ADULTS",L383&lt;=55,"MIDDLE_AGED",L383&gt;55,"OLD-AGED")</f>
        <v>OLD-AGED</v>
      </c>
      <c r="O383" t="str" cm="1">
        <f t="array" ref="O383">_xlfn.IFS(D383&lt;=50000,"low income",D383&lt;=100000,"Mid income",D383&gt;100000,"High income")</f>
        <v>low income</v>
      </c>
      <c r="P383" t="str" cm="1">
        <f t="array" ref="P383">_xlfn.IFS(E383&lt;=2,"&lt;=2",E383&gt;2,"&gt;2")</f>
        <v>&lt;=2</v>
      </c>
    </row>
    <row r="384" spans="1:16">
      <c r="A384" s="2">
        <v>13586</v>
      </c>
      <c r="B384" s="2" t="s">
        <v>16</v>
      </c>
      <c r="C384" s="2" t="s">
        <v>16</v>
      </c>
      <c r="D384" s="6">
        <v>80000</v>
      </c>
      <c r="E384" s="2">
        <v>4</v>
      </c>
      <c r="F384" s="2" t="s">
        <v>23</v>
      </c>
      <c r="G384" s="2" t="s">
        <v>25</v>
      </c>
      <c r="H384" s="2" t="s">
        <v>20</v>
      </c>
      <c r="I384" s="2">
        <v>2</v>
      </c>
      <c r="J384" s="4" t="s">
        <v>36</v>
      </c>
      <c r="K384" s="2" t="s">
        <v>22</v>
      </c>
      <c r="L384" s="2">
        <v>53</v>
      </c>
      <c r="M384" t="str" cm="1">
        <f t="array" ref="M384">_xlfn.IFS(L384&lt;=35,"YOUNG_ADULTS",L384&lt;=55,"MIDDLE_AGED",L384&gt;55,"OLD-AGED")</f>
        <v>MIDDLE_AGED</v>
      </c>
      <c r="O384" t="str" cm="1">
        <f t="array" ref="O384">_xlfn.IFS(D384&lt;=50000,"low income",D384&lt;=100000,"Mid income",D384&gt;100000,"High income")</f>
        <v>Mid income</v>
      </c>
      <c r="P384" t="str" cm="1">
        <f t="array" ref="P384">_xlfn.IFS(E384&lt;=2,"&lt;=2",E384&gt;2,"&gt;2")</f>
        <v>&gt;2</v>
      </c>
    </row>
    <row r="385" spans="1:16">
      <c r="A385" s="2">
        <v>17978</v>
      </c>
      <c r="B385" s="2" t="s">
        <v>16</v>
      </c>
      <c r="C385" s="2" t="s">
        <v>16</v>
      </c>
      <c r="D385" s="6">
        <v>40000</v>
      </c>
      <c r="E385" s="2">
        <v>0</v>
      </c>
      <c r="F385" s="2" t="s">
        <v>37</v>
      </c>
      <c r="G385" s="2" t="s">
        <v>24</v>
      </c>
      <c r="H385" s="2" t="s">
        <v>20</v>
      </c>
      <c r="I385" s="2">
        <v>0</v>
      </c>
      <c r="J385" s="4" t="s">
        <v>21</v>
      </c>
      <c r="K385" s="2" t="s">
        <v>22</v>
      </c>
      <c r="L385" s="2">
        <v>37</v>
      </c>
      <c r="M385" t="str" cm="1">
        <f t="array" ref="M385">_xlfn.IFS(L385&lt;=35,"YOUNG_ADULTS",L385&lt;=55,"MIDDLE_AGED",L385&gt;55,"OLD-AGED")</f>
        <v>MIDDLE_AGED</v>
      </c>
      <c r="N385" s="2" t="s">
        <v>20</v>
      </c>
      <c r="O385" t="str" cm="1">
        <f t="array" ref="O385">_xlfn.IFS(D385&lt;=50000,"low income",D385&lt;=100000,"Mid income",D385&gt;100000,"High income")</f>
        <v>low income</v>
      </c>
      <c r="P385" t="str" cm="1">
        <f t="array" ref="P385">_xlfn.IFS(E385&lt;=2,"&lt;=2",E385&gt;2,"&gt;2")</f>
        <v>&lt;=2</v>
      </c>
    </row>
    <row r="386" spans="1:16">
      <c r="A386" s="2">
        <v>12581</v>
      </c>
      <c r="B386" s="2" t="s">
        <v>28</v>
      </c>
      <c r="C386" s="2" t="s">
        <v>17</v>
      </c>
      <c r="D386" s="6">
        <v>10000</v>
      </c>
      <c r="E386" s="2">
        <v>0</v>
      </c>
      <c r="F386" s="2" t="s">
        <v>23</v>
      </c>
      <c r="G386" s="2" t="s">
        <v>31</v>
      </c>
      <c r="H386" s="2" t="s">
        <v>26</v>
      </c>
      <c r="I386" s="2">
        <v>1</v>
      </c>
      <c r="J386" s="4" t="s">
        <v>21</v>
      </c>
      <c r="K386" s="2" t="s">
        <v>30</v>
      </c>
      <c r="L386" s="2">
        <v>28</v>
      </c>
      <c r="M386" t="str" cm="1">
        <f t="array" ref="M386">_xlfn.IFS(L386&lt;=35,"YOUNG_ADULTS",L386&lt;=55,"MIDDLE_AGED",L386&gt;55,"OLD-AGED")</f>
        <v>YOUNG_ADULTS</v>
      </c>
      <c r="N386" s="2" t="s">
        <v>20</v>
      </c>
      <c r="O386" t="str" cm="1">
        <f t="array" ref="O386">_xlfn.IFS(D386&lt;=50000,"low income",D386&lt;=100000,"Mid income",D386&gt;100000,"High income")</f>
        <v>low income</v>
      </c>
      <c r="P386" t="str" cm="1">
        <f t="array" ref="P386">_xlfn.IFS(E386&lt;=2,"&lt;=2",E386&gt;2,"&gt;2")</f>
        <v>&lt;=2</v>
      </c>
    </row>
    <row r="387" spans="1:16">
      <c r="A387" s="2">
        <v>18018</v>
      </c>
      <c r="B387" s="2" t="s">
        <v>28</v>
      </c>
      <c r="C387" s="2" t="s">
        <v>16</v>
      </c>
      <c r="D387" s="6">
        <v>30000</v>
      </c>
      <c r="E387" s="2">
        <v>3</v>
      </c>
      <c r="F387" s="2" t="s">
        <v>23</v>
      </c>
      <c r="G387" s="2" t="s">
        <v>24</v>
      </c>
      <c r="H387" s="2" t="s">
        <v>20</v>
      </c>
      <c r="I387" s="2">
        <v>0</v>
      </c>
      <c r="J387" s="4" t="s">
        <v>21</v>
      </c>
      <c r="K387" s="2" t="s">
        <v>22</v>
      </c>
      <c r="L387" s="2">
        <v>43</v>
      </c>
      <c r="M387" t="str" cm="1">
        <f t="array" ref="M387">_xlfn.IFS(L387&lt;=35,"YOUNG_ADULTS",L387&lt;=55,"MIDDLE_AGED",L387&gt;55,"OLD-AGED")</f>
        <v>MIDDLE_AGED</v>
      </c>
      <c r="O387" t="str" cm="1">
        <f t="array" ref="O387">_xlfn.IFS(D387&lt;=50000,"low income",D387&lt;=100000,"Mid income",D387&gt;100000,"High income")</f>
        <v>low income</v>
      </c>
      <c r="P387" t="str" cm="1">
        <f t="array" ref="P387">_xlfn.IFS(E387&lt;=2,"&lt;=2",E387&gt;2,"&gt;2")</f>
        <v>&gt;2</v>
      </c>
    </row>
    <row r="388" spans="1:16">
      <c r="A388" s="2">
        <v>28957</v>
      </c>
      <c r="B388" s="2" t="s">
        <v>28</v>
      </c>
      <c r="C388" s="2" t="s">
        <v>17</v>
      </c>
      <c r="D388" s="6">
        <v>120000</v>
      </c>
      <c r="E388" s="2">
        <v>0</v>
      </c>
      <c r="F388" s="2" t="s">
        <v>35</v>
      </c>
      <c r="G388" s="2" t="s">
        <v>25</v>
      </c>
      <c r="H388" s="2" t="s">
        <v>20</v>
      </c>
      <c r="I388" s="2">
        <v>4</v>
      </c>
      <c r="J388" s="4" t="s">
        <v>36</v>
      </c>
      <c r="K388" s="2" t="s">
        <v>30</v>
      </c>
      <c r="L388" s="2">
        <v>34</v>
      </c>
      <c r="M388" t="str" cm="1">
        <f t="array" ref="M388">_xlfn.IFS(L388&lt;=35,"YOUNG_ADULTS",L388&lt;=55,"MIDDLE_AGED",L388&gt;55,"OLD-AGED")</f>
        <v>YOUNG_ADULTS</v>
      </c>
      <c r="N388" s="2" t="s">
        <v>20</v>
      </c>
      <c r="O388" t="str" cm="1">
        <f t="array" ref="O388">_xlfn.IFS(D388&lt;=50000,"low income",D388&lt;=100000,"Mid income",D388&gt;100000,"High income")</f>
        <v>High income</v>
      </c>
      <c r="P388" t="str" cm="1">
        <f t="array" ref="P388">_xlfn.IFS(E388&lt;=2,"&lt;=2",E388&gt;2,"&gt;2")</f>
        <v>&lt;=2</v>
      </c>
    </row>
    <row r="389" spans="1:16">
      <c r="A389" s="2">
        <v>13690</v>
      </c>
      <c r="B389" s="2" t="s">
        <v>28</v>
      </c>
      <c r="C389" s="2" t="s">
        <v>17</v>
      </c>
      <c r="D389" s="6">
        <v>20000</v>
      </c>
      <c r="E389" s="2">
        <v>0</v>
      </c>
      <c r="F389" s="2" t="s">
        <v>35</v>
      </c>
      <c r="G389" s="2" t="s">
        <v>31</v>
      </c>
      <c r="H389" s="2" t="s">
        <v>26</v>
      </c>
      <c r="I389" s="2">
        <v>2</v>
      </c>
      <c r="J389" s="4" t="s">
        <v>32</v>
      </c>
      <c r="K389" s="2" t="s">
        <v>22</v>
      </c>
      <c r="L389" s="2">
        <v>34</v>
      </c>
      <c r="M389" t="str" cm="1">
        <f t="array" ref="M389">_xlfn.IFS(L389&lt;=35,"YOUNG_ADULTS",L389&lt;=55,"MIDDLE_AGED",L389&gt;55,"OLD-AGED")</f>
        <v>YOUNG_ADULTS</v>
      </c>
      <c r="N389" s="2" t="s">
        <v>20</v>
      </c>
      <c r="O389" t="str" cm="1">
        <f t="array" ref="O389">_xlfn.IFS(D389&lt;=50000,"low income",D389&lt;=100000,"Mid income",D389&gt;100000,"High income")</f>
        <v>low income</v>
      </c>
      <c r="P389" t="str" cm="1">
        <f t="array" ref="P389">_xlfn.IFS(E389&lt;=2,"&lt;=2",E389&gt;2,"&gt;2")</f>
        <v>&lt;=2</v>
      </c>
    </row>
    <row r="390" spans="1:16">
      <c r="A390" s="2">
        <v>12568</v>
      </c>
      <c r="B390" s="2" t="s">
        <v>16</v>
      </c>
      <c r="C390" s="2" t="s">
        <v>17</v>
      </c>
      <c r="D390" s="6">
        <v>30000</v>
      </c>
      <c r="E390" s="2">
        <v>1</v>
      </c>
      <c r="F390" s="2" t="s">
        <v>18</v>
      </c>
      <c r="G390" s="2" t="s">
        <v>24</v>
      </c>
      <c r="H390" s="2" t="s">
        <v>20</v>
      </c>
      <c r="I390" s="2">
        <v>0</v>
      </c>
      <c r="J390" s="4" t="s">
        <v>21</v>
      </c>
      <c r="K390" s="2" t="s">
        <v>22</v>
      </c>
      <c r="L390" s="2">
        <v>64</v>
      </c>
      <c r="M390" t="str" cm="1">
        <f t="array" ref="M390">_xlfn.IFS(L390&lt;=35,"YOUNG_ADULTS",L390&lt;=55,"MIDDLE_AGED",L390&gt;55,"OLD-AGED")</f>
        <v>OLD-AGED</v>
      </c>
      <c r="O390" t="str" cm="1">
        <f t="array" ref="O390">_xlfn.IFS(D390&lt;=50000,"low income",D390&lt;=100000,"Mid income",D390&gt;100000,"High income")</f>
        <v>low income</v>
      </c>
      <c r="P390" t="str" cm="1">
        <f t="array" ref="P390">_xlfn.IFS(E390&lt;=2,"&lt;=2",E390&gt;2,"&gt;2")</f>
        <v>&lt;=2</v>
      </c>
    </row>
    <row r="391" spans="1:16">
      <c r="A391" s="2">
        <v>13122</v>
      </c>
      <c r="B391" s="2" t="s">
        <v>16</v>
      </c>
      <c r="C391" s="2" t="s">
        <v>17</v>
      </c>
      <c r="D391" s="6">
        <v>80000</v>
      </c>
      <c r="E391" s="2">
        <v>0</v>
      </c>
      <c r="F391" s="2" t="s">
        <v>18</v>
      </c>
      <c r="G391" s="2" t="s">
        <v>25</v>
      </c>
      <c r="H391" s="2" t="s">
        <v>20</v>
      </c>
      <c r="I391" s="2">
        <v>1</v>
      </c>
      <c r="J391" s="4" t="s">
        <v>32</v>
      </c>
      <c r="K391" s="2" t="s">
        <v>30</v>
      </c>
      <c r="L391" s="2">
        <v>41</v>
      </c>
      <c r="M391" t="str" cm="1">
        <f t="array" ref="M391">_xlfn.IFS(L391&lt;=35,"YOUNG_ADULTS",L391&lt;=55,"MIDDLE_AGED",L391&gt;55,"OLD-AGED")</f>
        <v>MIDDLE_AGED</v>
      </c>
      <c r="N391" s="2" t="s">
        <v>20</v>
      </c>
      <c r="O391" t="str" cm="1">
        <f t="array" ref="O391">_xlfn.IFS(D391&lt;=50000,"low income",D391&lt;=100000,"Mid income",D391&gt;100000,"High income")</f>
        <v>Mid income</v>
      </c>
      <c r="P391" t="str" cm="1">
        <f t="array" ref="P391">_xlfn.IFS(E391&lt;=2,"&lt;=2",E391&gt;2,"&gt;2")</f>
        <v>&lt;=2</v>
      </c>
    </row>
    <row r="392" spans="1:16">
      <c r="A392" s="2">
        <v>21184</v>
      </c>
      <c r="B392" s="2" t="s">
        <v>28</v>
      </c>
      <c r="C392" s="2" t="s">
        <v>16</v>
      </c>
      <c r="D392" s="6">
        <v>70000</v>
      </c>
      <c r="E392" s="2">
        <v>0</v>
      </c>
      <c r="F392" s="2" t="s">
        <v>18</v>
      </c>
      <c r="G392" s="2" t="s">
        <v>25</v>
      </c>
      <c r="H392" s="2" t="s">
        <v>26</v>
      </c>
      <c r="I392" s="2">
        <v>1</v>
      </c>
      <c r="J392" s="4" t="s">
        <v>29</v>
      </c>
      <c r="K392" s="2" t="s">
        <v>30</v>
      </c>
      <c r="L392" s="2">
        <v>38</v>
      </c>
      <c r="M392" t="str" cm="1">
        <f t="array" ref="M392">_xlfn.IFS(L392&lt;=35,"YOUNG_ADULTS",L392&lt;=55,"MIDDLE_AGED",L392&gt;55,"OLD-AGED")</f>
        <v>MIDDLE_AGED</v>
      </c>
      <c r="O392" t="str" cm="1">
        <f t="array" ref="O392">_xlfn.IFS(D392&lt;=50000,"low income",D392&lt;=100000,"Mid income",D392&gt;100000,"High income")</f>
        <v>Mid income</v>
      </c>
      <c r="P392" t="str" cm="1">
        <f t="array" ref="P392">_xlfn.IFS(E392&lt;=2,"&lt;=2",E392&gt;2,"&gt;2")</f>
        <v>&lt;=2</v>
      </c>
    </row>
    <row r="393" spans="1:16">
      <c r="A393" s="2">
        <v>26150</v>
      </c>
      <c r="B393" s="2" t="s">
        <v>28</v>
      </c>
      <c r="C393" s="2" t="s">
        <v>17</v>
      </c>
      <c r="D393" s="6">
        <v>70000</v>
      </c>
      <c r="E393" s="2">
        <v>0</v>
      </c>
      <c r="F393" s="2" t="s">
        <v>18</v>
      </c>
      <c r="G393" s="2" t="s">
        <v>25</v>
      </c>
      <c r="H393" s="2" t="s">
        <v>26</v>
      </c>
      <c r="I393" s="2">
        <v>1</v>
      </c>
      <c r="J393" s="4" t="s">
        <v>21</v>
      </c>
      <c r="K393" s="2" t="s">
        <v>30</v>
      </c>
      <c r="L393" s="2">
        <v>41</v>
      </c>
      <c r="M393" t="str" cm="1">
        <f t="array" ref="M393">_xlfn.IFS(L393&lt;=35,"YOUNG_ADULTS",L393&lt;=55,"MIDDLE_AGED",L393&gt;55,"OLD-AGED")</f>
        <v>MIDDLE_AGED</v>
      </c>
      <c r="N393" s="2" t="s">
        <v>20</v>
      </c>
      <c r="O393" t="str" cm="1">
        <f t="array" ref="O393">_xlfn.IFS(D393&lt;=50000,"low income",D393&lt;=100000,"Mid income",D393&gt;100000,"High income")</f>
        <v>Mid income</v>
      </c>
      <c r="P393" t="str" cm="1">
        <f t="array" ref="P393">_xlfn.IFS(E393&lt;=2,"&lt;=2",E393&gt;2,"&gt;2")</f>
        <v>&lt;=2</v>
      </c>
    </row>
    <row r="394" spans="1:16">
      <c r="A394" s="2">
        <v>24151</v>
      </c>
      <c r="B394" s="2" t="s">
        <v>28</v>
      </c>
      <c r="C394" s="2" t="s">
        <v>16</v>
      </c>
      <c r="D394" s="6">
        <v>20000</v>
      </c>
      <c r="E394" s="2">
        <v>1</v>
      </c>
      <c r="F394" s="2" t="s">
        <v>18</v>
      </c>
      <c r="G394" s="2" t="s">
        <v>24</v>
      </c>
      <c r="H394" s="2" t="s">
        <v>26</v>
      </c>
      <c r="I394" s="2">
        <v>0</v>
      </c>
      <c r="J394" s="4" t="s">
        <v>21</v>
      </c>
      <c r="K394" s="2" t="s">
        <v>22</v>
      </c>
      <c r="L394" s="2">
        <v>51</v>
      </c>
      <c r="M394" t="str" cm="1">
        <f t="array" ref="M394">_xlfn.IFS(L394&lt;=35,"YOUNG_ADULTS",L394&lt;=55,"MIDDLE_AGED",L394&gt;55,"OLD-AGED")</f>
        <v>MIDDLE_AGED</v>
      </c>
      <c r="O394" t="str" cm="1">
        <f t="array" ref="O394">_xlfn.IFS(D394&lt;=50000,"low income",D394&lt;=100000,"Mid income",D394&gt;100000,"High income")</f>
        <v>low income</v>
      </c>
      <c r="P394" t="str" cm="1">
        <f t="array" ref="P394">_xlfn.IFS(E394&lt;=2,"&lt;=2",E394&gt;2,"&gt;2")</f>
        <v>&lt;=2</v>
      </c>
    </row>
    <row r="395" spans="1:16">
      <c r="A395" s="2">
        <v>23962</v>
      </c>
      <c r="B395" s="2" t="s">
        <v>16</v>
      </c>
      <c r="C395" s="2" t="s">
        <v>17</v>
      </c>
      <c r="D395" s="6">
        <v>10000</v>
      </c>
      <c r="E395" s="2">
        <v>0</v>
      </c>
      <c r="F395" s="2" t="s">
        <v>35</v>
      </c>
      <c r="G395" s="2" t="s">
        <v>31</v>
      </c>
      <c r="H395" s="2" t="s">
        <v>20</v>
      </c>
      <c r="I395" s="2">
        <v>2</v>
      </c>
      <c r="J395" s="4" t="s">
        <v>32</v>
      </c>
      <c r="K395" s="2" t="s">
        <v>22</v>
      </c>
      <c r="L395" s="2">
        <v>32</v>
      </c>
      <c r="M395" t="str" cm="1">
        <f t="array" ref="M395">_xlfn.IFS(L395&lt;=35,"YOUNG_ADULTS",L395&lt;=55,"MIDDLE_AGED",L395&gt;55,"OLD-AGED")</f>
        <v>YOUNG_ADULTS</v>
      </c>
      <c r="O395" t="str" cm="1">
        <f t="array" ref="O395">_xlfn.IFS(D395&lt;=50000,"low income",D395&lt;=100000,"Mid income",D395&gt;100000,"High income")</f>
        <v>low income</v>
      </c>
      <c r="P395" t="str" cm="1">
        <f t="array" ref="P395">_xlfn.IFS(E395&lt;=2,"&lt;=2",E395&gt;2,"&gt;2")</f>
        <v>&lt;=2</v>
      </c>
    </row>
    <row r="396" spans="1:16">
      <c r="A396" s="2">
        <v>17793</v>
      </c>
      <c r="B396" s="2" t="s">
        <v>16</v>
      </c>
      <c r="C396" s="2" t="s">
        <v>17</v>
      </c>
      <c r="D396" s="6">
        <v>40000</v>
      </c>
      <c r="E396" s="2">
        <v>0</v>
      </c>
      <c r="F396" s="2" t="s">
        <v>18</v>
      </c>
      <c r="G396" s="2" t="s">
        <v>24</v>
      </c>
      <c r="H396" s="2" t="s">
        <v>20</v>
      </c>
      <c r="I396" s="2">
        <v>0</v>
      </c>
      <c r="J396" s="4" t="s">
        <v>21</v>
      </c>
      <c r="K396" s="2" t="s">
        <v>22</v>
      </c>
      <c r="L396" s="2">
        <v>38</v>
      </c>
      <c r="M396" t="str" cm="1">
        <f t="array" ref="M396">_xlfn.IFS(L396&lt;=35,"YOUNG_ADULTS",L396&lt;=55,"MIDDLE_AGED",L396&gt;55,"OLD-AGED")</f>
        <v>MIDDLE_AGED</v>
      </c>
      <c r="N396" s="2" t="s">
        <v>20</v>
      </c>
      <c r="O396" t="str" cm="1">
        <f t="array" ref="O396">_xlfn.IFS(D396&lt;=50000,"low income",D396&lt;=100000,"Mid income",D396&gt;100000,"High income")</f>
        <v>low income</v>
      </c>
      <c r="P396" t="str" cm="1">
        <f t="array" ref="P396">_xlfn.IFS(E396&lt;=2,"&lt;=2",E396&gt;2,"&gt;2")</f>
        <v>&lt;=2</v>
      </c>
    </row>
    <row r="397" spans="1:16">
      <c r="A397" s="2">
        <v>14926</v>
      </c>
      <c r="B397" s="2" t="s">
        <v>16</v>
      </c>
      <c r="C397" s="2" t="s">
        <v>16</v>
      </c>
      <c r="D397" s="6">
        <v>30000</v>
      </c>
      <c r="E397" s="2">
        <v>1</v>
      </c>
      <c r="F397" s="2" t="s">
        <v>18</v>
      </c>
      <c r="G397" s="2" t="s">
        <v>24</v>
      </c>
      <c r="H397" s="2" t="s">
        <v>20</v>
      </c>
      <c r="I397" s="2">
        <v>0</v>
      </c>
      <c r="J397" s="4" t="s">
        <v>21</v>
      </c>
      <c r="K397" s="2" t="s">
        <v>22</v>
      </c>
      <c r="L397" s="2">
        <v>38</v>
      </c>
      <c r="M397" t="str" cm="1">
        <f t="array" ref="M397">_xlfn.IFS(L397&lt;=35,"YOUNG_ADULTS",L397&lt;=55,"MIDDLE_AGED",L397&gt;55,"OLD-AGED")</f>
        <v>MIDDLE_AGED</v>
      </c>
      <c r="N397" s="2" t="s">
        <v>20</v>
      </c>
      <c r="O397" t="str" cm="1">
        <f t="array" ref="O397">_xlfn.IFS(D397&lt;=50000,"low income",D397&lt;=100000,"Mid income",D397&gt;100000,"High income")</f>
        <v>low income</v>
      </c>
      <c r="P397" t="str" cm="1">
        <f t="array" ref="P397">_xlfn.IFS(E397&lt;=2,"&lt;=2",E397&gt;2,"&gt;2")</f>
        <v>&lt;=2</v>
      </c>
    </row>
    <row r="398" spans="1:16">
      <c r="A398" s="2">
        <v>16163</v>
      </c>
      <c r="B398" s="2" t="s">
        <v>28</v>
      </c>
      <c r="C398" s="2" t="s">
        <v>16</v>
      </c>
      <c r="D398" s="6">
        <v>60000</v>
      </c>
      <c r="E398" s="2">
        <v>2</v>
      </c>
      <c r="F398" s="2" t="s">
        <v>18</v>
      </c>
      <c r="G398" s="2" t="s">
        <v>25</v>
      </c>
      <c r="H398" s="2" t="s">
        <v>20</v>
      </c>
      <c r="I398" s="2">
        <v>1</v>
      </c>
      <c r="J398" s="4" t="s">
        <v>27</v>
      </c>
      <c r="K398" s="2" t="s">
        <v>30</v>
      </c>
      <c r="L398" s="2">
        <v>38</v>
      </c>
      <c r="M398" t="str" cm="1">
        <f t="array" ref="M398">_xlfn.IFS(L398&lt;=35,"YOUNG_ADULTS",L398&lt;=55,"MIDDLE_AGED",L398&gt;55,"OLD-AGED")</f>
        <v>MIDDLE_AGED</v>
      </c>
      <c r="N398" s="2" t="s">
        <v>20</v>
      </c>
      <c r="O398" t="str" cm="1">
        <f t="array" ref="O398">_xlfn.IFS(D398&lt;=50000,"low income",D398&lt;=100000,"Mid income",D398&gt;100000,"High income")</f>
        <v>Mid income</v>
      </c>
      <c r="P398" t="str" cm="1">
        <f t="array" ref="P398">_xlfn.IFS(E398&lt;=2,"&lt;=2",E398&gt;2,"&gt;2")</f>
        <v>&lt;=2</v>
      </c>
    </row>
    <row r="399" spans="1:16">
      <c r="A399" s="2">
        <v>21365</v>
      </c>
      <c r="B399" s="2" t="s">
        <v>16</v>
      </c>
      <c r="C399" s="2" t="s">
        <v>17</v>
      </c>
      <c r="D399" s="6">
        <v>10000</v>
      </c>
      <c r="E399" s="2">
        <v>2</v>
      </c>
      <c r="F399" s="2" t="s">
        <v>35</v>
      </c>
      <c r="G399" s="2" t="s">
        <v>24</v>
      </c>
      <c r="H399" s="2" t="s">
        <v>20</v>
      </c>
      <c r="I399" s="2">
        <v>2</v>
      </c>
      <c r="J399" s="4" t="s">
        <v>29</v>
      </c>
      <c r="K399" s="2" t="s">
        <v>30</v>
      </c>
      <c r="L399" s="2">
        <v>58</v>
      </c>
      <c r="M399" t="str" cm="1">
        <f t="array" ref="M399">_xlfn.IFS(L399&lt;=35,"YOUNG_ADULTS",L399&lt;=55,"MIDDLE_AGED",L399&gt;55,"OLD-AGED")</f>
        <v>OLD-AGED</v>
      </c>
      <c r="O399" t="str" cm="1">
        <f t="array" ref="O399">_xlfn.IFS(D399&lt;=50000,"low income",D399&lt;=100000,"Mid income",D399&gt;100000,"High income")</f>
        <v>low income</v>
      </c>
      <c r="P399" t="str" cm="1">
        <f t="array" ref="P399">_xlfn.IFS(E399&lt;=2,"&lt;=2",E399&gt;2,"&gt;2")</f>
        <v>&lt;=2</v>
      </c>
    </row>
    <row r="400" spans="1:16">
      <c r="A400" s="2">
        <v>27771</v>
      </c>
      <c r="B400" s="2" t="s">
        <v>28</v>
      </c>
      <c r="C400" s="2" t="s">
        <v>16</v>
      </c>
      <c r="D400" s="6">
        <v>30000</v>
      </c>
      <c r="E400" s="2">
        <v>1</v>
      </c>
      <c r="F400" s="2" t="s">
        <v>18</v>
      </c>
      <c r="G400" s="2" t="s">
        <v>24</v>
      </c>
      <c r="H400" s="2" t="s">
        <v>20</v>
      </c>
      <c r="I400" s="2">
        <v>1</v>
      </c>
      <c r="J400" s="4" t="s">
        <v>32</v>
      </c>
      <c r="K400" s="2" t="s">
        <v>22</v>
      </c>
      <c r="L400" s="2">
        <v>39</v>
      </c>
      <c r="M400" t="str" cm="1">
        <f t="array" ref="M400">_xlfn.IFS(L400&lt;=35,"YOUNG_ADULTS",L400&lt;=55,"MIDDLE_AGED",L400&gt;55,"OLD-AGED")</f>
        <v>MIDDLE_AGED</v>
      </c>
      <c r="N400" s="2" t="s">
        <v>20</v>
      </c>
      <c r="O400" t="str" cm="1">
        <f t="array" ref="O400">_xlfn.IFS(D400&lt;=50000,"low income",D400&lt;=100000,"Mid income",D400&gt;100000,"High income")</f>
        <v>low income</v>
      </c>
      <c r="P400" t="str" cm="1">
        <f t="array" ref="P400">_xlfn.IFS(E400&lt;=2,"&lt;=2",E400&gt;2,"&gt;2")</f>
        <v>&lt;=2</v>
      </c>
    </row>
    <row r="401" spans="1:16">
      <c r="A401" s="2">
        <v>26167</v>
      </c>
      <c r="B401" s="2" t="s">
        <v>28</v>
      </c>
      <c r="C401" s="2" t="s">
        <v>17</v>
      </c>
      <c r="D401" s="6">
        <v>40000</v>
      </c>
      <c r="E401" s="2">
        <v>2</v>
      </c>
      <c r="F401" s="2" t="s">
        <v>18</v>
      </c>
      <c r="G401" s="2" t="s">
        <v>34</v>
      </c>
      <c r="H401" s="2" t="s">
        <v>26</v>
      </c>
      <c r="I401" s="2">
        <v>1</v>
      </c>
      <c r="J401" s="4" t="s">
        <v>29</v>
      </c>
      <c r="K401" s="2" t="s">
        <v>30</v>
      </c>
      <c r="L401" s="2">
        <v>53</v>
      </c>
      <c r="M401" t="str" cm="1">
        <f t="array" ref="M401">_xlfn.IFS(L401&lt;=35,"YOUNG_ADULTS",L401&lt;=55,"MIDDLE_AGED",L401&gt;55,"OLD-AGED")</f>
        <v>MIDDLE_AGED</v>
      </c>
      <c r="N401" s="2" t="s">
        <v>20</v>
      </c>
      <c r="O401" t="str" cm="1">
        <f t="array" ref="O401">_xlfn.IFS(D401&lt;=50000,"low income",D401&lt;=100000,"Mid income",D401&gt;100000,"High income")</f>
        <v>low income</v>
      </c>
      <c r="P401" t="str" cm="1">
        <f t="array" ref="P401">_xlfn.IFS(E401&lt;=2,"&lt;=2",E401&gt;2,"&gt;2")</f>
        <v>&lt;=2</v>
      </c>
    </row>
    <row r="402" spans="1:16">
      <c r="A402" s="2">
        <v>25792</v>
      </c>
      <c r="B402" s="2" t="s">
        <v>28</v>
      </c>
      <c r="C402" s="2" t="s">
        <v>17</v>
      </c>
      <c r="D402" s="6">
        <v>110000</v>
      </c>
      <c r="E402" s="2">
        <v>3</v>
      </c>
      <c r="F402" s="2" t="s">
        <v>18</v>
      </c>
      <c r="G402" s="2" t="s">
        <v>34</v>
      </c>
      <c r="H402" s="2" t="s">
        <v>20</v>
      </c>
      <c r="I402" s="2">
        <v>4</v>
      </c>
      <c r="J402" s="4" t="s">
        <v>36</v>
      </c>
      <c r="K402" s="2" t="s">
        <v>22</v>
      </c>
      <c r="L402" s="2">
        <v>53</v>
      </c>
      <c r="M402" t="str" cm="1">
        <f t="array" ref="M402">_xlfn.IFS(L402&lt;=35,"YOUNG_ADULTS",L402&lt;=55,"MIDDLE_AGED",L402&gt;55,"OLD-AGED")</f>
        <v>MIDDLE_AGED</v>
      </c>
      <c r="O402" t="str" cm="1">
        <f t="array" ref="O402">_xlfn.IFS(D402&lt;=50000,"low income",D402&lt;=100000,"Mid income",D402&gt;100000,"High income")</f>
        <v>High income</v>
      </c>
      <c r="P402" t="str" cm="1">
        <f t="array" ref="P402">_xlfn.IFS(E402&lt;=2,"&lt;=2",E402&gt;2,"&gt;2")</f>
        <v>&gt;2</v>
      </c>
    </row>
    <row r="403" spans="1:16">
      <c r="A403" s="2">
        <v>11555</v>
      </c>
      <c r="B403" s="2" t="s">
        <v>16</v>
      </c>
      <c r="C403" s="2" t="s">
        <v>17</v>
      </c>
      <c r="D403" s="6">
        <v>40000</v>
      </c>
      <c r="E403" s="2">
        <v>1</v>
      </c>
      <c r="F403" s="2" t="s">
        <v>18</v>
      </c>
      <c r="G403" s="2" t="s">
        <v>24</v>
      </c>
      <c r="H403" s="2" t="s">
        <v>20</v>
      </c>
      <c r="I403" s="2">
        <v>0</v>
      </c>
      <c r="J403" s="4" t="s">
        <v>21</v>
      </c>
      <c r="K403" s="2" t="s">
        <v>22</v>
      </c>
      <c r="L403" s="2">
        <v>80</v>
      </c>
      <c r="M403" t="str" cm="1">
        <f t="array" ref="M403">_xlfn.IFS(L403&lt;=35,"YOUNG_ADULTS",L403&lt;=55,"MIDDLE_AGED",L403&gt;55,"OLD-AGED")</f>
        <v>OLD-AGED</v>
      </c>
      <c r="O403" t="str" cm="1">
        <f t="array" ref="O403">_xlfn.IFS(D403&lt;=50000,"low income",D403&lt;=100000,"Mid income",D403&gt;100000,"High income")</f>
        <v>low income</v>
      </c>
      <c r="P403" t="str" cm="1">
        <f t="array" ref="P403">_xlfn.IFS(E403&lt;=2,"&lt;=2",E403&gt;2,"&gt;2")</f>
        <v>&lt;=2</v>
      </c>
    </row>
    <row r="404" spans="1:16">
      <c r="A404" s="2">
        <v>22381</v>
      </c>
      <c r="B404" s="2" t="s">
        <v>16</v>
      </c>
      <c r="C404" s="2" t="s">
        <v>16</v>
      </c>
      <c r="D404" s="6">
        <v>10000</v>
      </c>
      <c r="E404" s="2">
        <v>1</v>
      </c>
      <c r="F404" s="2" t="s">
        <v>37</v>
      </c>
      <c r="G404" s="2" t="s">
        <v>31</v>
      </c>
      <c r="H404" s="2" t="s">
        <v>20</v>
      </c>
      <c r="I404" s="2">
        <v>0</v>
      </c>
      <c r="J404" s="4" t="s">
        <v>21</v>
      </c>
      <c r="K404" s="2" t="s">
        <v>22</v>
      </c>
      <c r="L404" s="2">
        <v>44</v>
      </c>
      <c r="M404" t="str" cm="1">
        <f t="array" ref="M404">_xlfn.IFS(L404&lt;=35,"YOUNG_ADULTS",L404&lt;=55,"MIDDLE_AGED",L404&gt;55,"OLD-AGED")</f>
        <v>MIDDLE_AGED</v>
      </c>
      <c r="O404" t="str" cm="1">
        <f t="array" ref="O404">_xlfn.IFS(D404&lt;=50000,"low income",D404&lt;=100000,"Mid income",D404&gt;100000,"High income")</f>
        <v>low income</v>
      </c>
      <c r="P404" t="str" cm="1">
        <f t="array" ref="P404">_xlfn.IFS(E404&lt;=2,"&lt;=2",E404&gt;2,"&gt;2")</f>
        <v>&lt;=2</v>
      </c>
    </row>
    <row r="405" spans="1:16">
      <c r="A405" s="2">
        <v>17882</v>
      </c>
      <c r="B405" s="2" t="s">
        <v>16</v>
      </c>
      <c r="C405" s="2" t="s">
        <v>16</v>
      </c>
      <c r="D405" s="6">
        <v>20000</v>
      </c>
      <c r="E405" s="2">
        <v>1</v>
      </c>
      <c r="F405" s="2" t="s">
        <v>37</v>
      </c>
      <c r="G405" s="2" t="s">
        <v>24</v>
      </c>
      <c r="H405" s="2" t="s">
        <v>20</v>
      </c>
      <c r="I405" s="2">
        <v>0</v>
      </c>
      <c r="J405" s="4" t="s">
        <v>21</v>
      </c>
      <c r="K405" s="2" t="s">
        <v>22</v>
      </c>
      <c r="L405" s="2">
        <v>44</v>
      </c>
      <c r="M405" t="str" cm="1">
        <f t="array" ref="M405">_xlfn.IFS(L405&lt;=35,"YOUNG_ADULTS",L405&lt;=55,"MIDDLE_AGED",L405&gt;55,"OLD-AGED")</f>
        <v>MIDDLE_AGED</v>
      </c>
      <c r="O405" t="str" cm="1">
        <f t="array" ref="O405">_xlfn.IFS(D405&lt;=50000,"low income",D405&lt;=100000,"Mid income",D405&gt;100000,"High income")</f>
        <v>low income</v>
      </c>
      <c r="P405" t="str" cm="1">
        <f t="array" ref="P405">_xlfn.IFS(E405&lt;=2,"&lt;=2",E405&gt;2,"&gt;2")</f>
        <v>&lt;=2</v>
      </c>
    </row>
    <row r="406" spans="1:16">
      <c r="A406" s="2">
        <v>22174</v>
      </c>
      <c r="B406" s="2" t="s">
        <v>16</v>
      </c>
      <c r="C406" s="2" t="s">
        <v>16</v>
      </c>
      <c r="D406" s="6">
        <v>30000</v>
      </c>
      <c r="E406" s="2">
        <v>3</v>
      </c>
      <c r="F406" s="2" t="s">
        <v>33</v>
      </c>
      <c r="G406" s="2" t="s">
        <v>19</v>
      </c>
      <c r="H406" s="2" t="s">
        <v>20</v>
      </c>
      <c r="I406" s="2">
        <v>2</v>
      </c>
      <c r="J406" s="4" t="s">
        <v>29</v>
      </c>
      <c r="K406" s="2" t="s">
        <v>30</v>
      </c>
      <c r="L406" s="2">
        <v>54</v>
      </c>
      <c r="M406" t="str" cm="1">
        <f t="array" ref="M406">_xlfn.IFS(L406&lt;=35,"YOUNG_ADULTS",L406&lt;=55,"MIDDLE_AGED",L406&gt;55,"OLD-AGED")</f>
        <v>MIDDLE_AGED</v>
      </c>
      <c r="N406" s="2" t="s">
        <v>20</v>
      </c>
      <c r="O406" t="str" cm="1">
        <f t="array" ref="O406">_xlfn.IFS(D406&lt;=50000,"low income",D406&lt;=100000,"Mid income",D406&gt;100000,"High income")</f>
        <v>low income</v>
      </c>
      <c r="P406" t="str" cm="1">
        <f t="array" ref="P406">_xlfn.IFS(E406&lt;=2,"&lt;=2",E406&gt;2,"&gt;2")</f>
        <v>&gt;2</v>
      </c>
    </row>
    <row r="407" spans="1:16">
      <c r="A407" s="2">
        <v>22439</v>
      </c>
      <c r="B407" s="2" t="s">
        <v>16</v>
      </c>
      <c r="C407" s="2" t="s">
        <v>17</v>
      </c>
      <c r="D407" s="6">
        <v>30000</v>
      </c>
      <c r="E407" s="2">
        <v>0</v>
      </c>
      <c r="F407" s="2" t="s">
        <v>18</v>
      </c>
      <c r="G407" s="2" t="s">
        <v>24</v>
      </c>
      <c r="H407" s="2" t="s">
        <v>20</v>
      </c>
      <c r="I407" s="2">
        <v>0</v>
      </c>
      <c r="J407" s="4" t="s">
        <v>21</v>
      </c>
      <c r="K407" s="2" t="s">
        <v>22</v>
      </c>
      <c r="L407" s="2">
        <v>37</v>
      </c>
      <c r="M407" t="str" cm="1">
        <f t="array" ref="M407">_xlfn.IFS(L407&lt;=35,"YOUNG_ADULTS",L407&lt;=55,"MIDDLE_AGED",L407&gt;55,"OLD-AGED")</f>
        <v>MIDDLE_AGED</v>
      </c>
      <c r="N407" s="2" t="s">
        <v>20</v>
      </c>
      <c r="O407" t="str" cm="1">
        <f t="array" ref="O407">_xlfn.IFS(D407&lt;=50000,"low income",D407&lt;=100000,"Mid income",D407&gt;100000,"High income")</f>
        <v>low income</v>
      </c>
      <c r="P407" t="str" cm="1">
        <f t="array" ref="P407">_xlfn.IFS(E407&lt;=2,"&lt;=2",E407&gt;2,"&gt;2")</f>
        <v>&lt;=2</v>
      </c>
    </row>
    <row r="408" spans="1:16">
      <c r="A408" s="2">
        <v>18012</v>
      </c>
      <c r="B408" s="2" t="s">
        <v>16</v>
      </c>
      <c r="C408" s="2" t="s">
        <v>17</v>
      </c>
      <c r="D408" s="6">
        <v>40000</v>
      </c>
      <c r="E408" s="2">
        <v>1</v>
      </c>
      <c r="F408" s="2" t="s">
        <v>18</v>
      </c>
      <c r="G408" s="2" t="s">
        <v>19</v>
      </c>
      <c r="H408" s="2" t="s">
        <v>20</v>
      </c>
      <c r="I408" s="2">
        <v>0</v>
      </c>
      <c r="J408" s="4" t="s">
        <v>21</v>
      </c>
      <c r="K408" s="2" t="s">
        <v>22</v>
      </c>
      <c r="L408" s="2">
        <v>41</v>
      </c>
      <c r="M408" t="str" cm="1">
        <f t="array" ref="M408">_xlfn.IFS(L408&lt;=35,"YOUNG_ADULTS",L408&lt;=55,"MIDDLE_AGED",L408&gt;55,"OLD-AGED")</f>
        <v>MIDDLE_AGED</v>
      </c>
      <c r="O408" t="str" cm="1">
        <f t="array" ref="O408">_xlfn.IFS(D408&lt;=50000,"low income",D408&lt;=100000,"Mid income",D408&gt;100000,"High income")</f>
        <v>low income</v>
      </c>
      <c r="P408" t="str" cm="1">
        <f t="array" ref="P408">_xlfn.IFS(E408&lt;=2,"&lt;=2",E408&gt;2,"&gt;2")</f>
        <v>&lt;=2</v>
      </c>
    </row>
    <row r="409" spans="1:16">
      <c r="A409" s="2">
        <v>27582</v>
      </c>
      <c r="B409" s="2" t="s">
        <v>28</v>
      </c>
      <c r="C409" s="2" t="s">
        <v>17</v>
      </c>
      <c r="D409" s="6">
        <v>90000</v>
      </c>
      <c r="E409" s="2">
        <v>2</v>
      </c>
      <c r="F409" s="2" t="s">
        <v>18</v>
      </c>
      <c r="G409" s="2" t="s">
        <v>25</v>
      </c>
      <c r="H409" s="2" t="s">
        <v>26</v>
      </c>
      <c r="I409" s="2">
        <v>0</v>
      </c>
      <c r="J409" s="4" t="s">
        <v>21</v>
      </c>
      <c r="K409" s="2" t="s">
        <v>30</v>
      </c>
      <c r="L409" s="2">
        <v>36</v>
      </c>
      <c r="M409" t="str" cm="1">
        <f t="array" ref="M409">_xlfn.IFS(L409&lt;=35,"YOUNG_ADULTS",L409&lt;=55,"MIDDLE_AGED",L409&gt;55,"OLD-AGED")</f>
        <v>MIDDLE_AGED</v>
      </c>
      <c r="N409" s="2" t="s">
        <v>20</v>
      </c>
      <c r="O409" t="str" cm="1">
        <f t="array" ref="O409">_xlfn.IFS(D409&lt;=50000,"low income",D409&lt;=100000,"Mid income",D409&gt;100000,"High income")</f>
        <v>Mid income</v>
      </c>
      <c r="P409" t="str" cm="1">
        <f t="array" ref="P409">_xlfn.IFS(E409&lt;=2,"&lt;=2",E409&gt;2,"&gt;2")</f>
        <v>&lt;=2</v>
      </c>
    </row>
    <row r="410" spans="1:16">
      <c r="A410" s="2">
        <v>12744</v>
      </c>
      <c r="B410" s="2" t="s">
        <v>28</v>
      </c>
      <c r="C410" s="2" t="s">
        <v>17</v>
      </c>
      <c r="D410" s="6">
        <v>40000</v>
      </c>
      <c r="E410" s="2">
        <v>2</v>
      </c>
      <c r="F410" s="2" t="s">
        <v>23</v>
      </c>
      <c r="G410" s="2" t="s">
        <v>24</v>
      </c>
      <c r="H410" s="2" t="s">
        <v>20</v>
      </c>
      <c r="I410" s="2">
        <v>0</v>
      </c>
      <c r="J410" s="4" t="s">
        <v>21</v>
      </c>
      <c r="K410" s="2" t="s">
        <v>22</v>
      </c>
      <c r="L410" s="2">
        <v>33</v>
      </c>
      <c r="M410" t="str" cm="1">
        <f t="array" ref="M410">_xlfn.IFS(L410&lt;=35,"YOUNG_ADULTS",L410&lt;=55,"MIDDLE_AGED",L410&gt;55,"OLD-AGED")</f>
        <v>YOUNG_ADULTS</v>
      </c>
      <c r="O410" t="str" cm="1">
        <f t="array" ref="O410">_xlfn.IFS(D410&lt;=50000,"low income",D410&lt;=100000,"Mid income",D410&gt;100000,"High income")</f>
        <v>low income</v>
      </c>
      <c r="P410" t="str" cm="1">
        <f t="array" ref="P410">_xlfn.IFS(E410&lt;=2,"&lt;=2",E410&gt;2,"&gt;2")</f>
        <v>&lt;=2</v>
      </c>
    </row>
    <row r="411" spans="1:16">
      <c r="A411" s="2">
        <v>22821</v>
      </c>
      <c r="B411" s="2" t="s">
        <v>16</v>
      </c>
      <c r="C411" s="2" t="s">
        <v>17</v>
      </c>
      <c r="D411" s="6">
        <v>130000</v>
      </c>
      <c r="E411" s="2">
        <v>3</v>
      </c>
      <c r="F411" s="2" t="s">
        <v>23</v>
      </c>
      <c r="G411" s="2" t="s">
        <v>25</v>
      </c>
      <c r="H411" s="2" t="s">
        <v>20</v>
      </c>
      <c r="I411" s="2">
        <v>4</v>
      </c>
      <c r="J411" s="4" t="s">
        <v>21</v>
      </c>
      <c r="K411" s="2" t="s">
        <v>22</v>
      </c>
      <c r="L411" s="2">
        <v>52</v>
      </c>
      <c r="M411" t="str" cm="1">
        <f t="array" ref="M411">_xlfn.IFS(L411&lt;=35,"YOUNG_ADULTS",L411&lt;=55,"MIDDLE_AGED",L411&gt;55,"OLD-AGED")</f>
        <v>MIDDLE_AGED</v>
      </c>
      <c r="O411" t="str" cm="1">
        <f t="array" ref="O411">_xlfn.IFS(D411&lt;=50000,"low income",D411&lt;=100000,"Mid income",D411&gt;100000,"High income")</f>
        <v>High income</v>
      </c>
      <c r="P411" t="str" cm="1">
        <f t="array" ref="P411">_xlfn.IFS(E411&lt;=2,"&lt;=2",E411&gt;2,"&gt;2")</f>
        <v>&gt;2</v>
      </c>
    </row>
    <row r="412" spans="1:16">
      <c r="A412" s="2">
        <v>20171</v>
      </c>
      <c r="B412" s="2" t="s">
        <v>16</v>
      </c>
      <c r="C412" s="2" t="s">
        <v>17</v>
      </c>
      <c r="D412" s="6">
        <v>20000</v>
      </c>
      <c r="E412" s="2">
        <v>2</v>
      </c>
      <c r="F412" s="2" t="s">
        <v>23</v>
      </c>
      <c r="G412" s="2" t="s">
        <v>31</v>
      </c>
      <c r="H412" s="2" t="s">
        <v>20</v>
      </c>
      <c r="I412" s="2">
        <v>1</v>
      </c>
      <c r="J412" s="4" t="s">
        <v>21</v>
      </c>
      <c r="K412" s="2" t="s">
        <v>22</v>
      </c>
      <c r="L412" s="2">
        <v>46</v>
      </c>
      <c r="M412" t="str" cm="1">
        <f t="array" ref="M412">_xlfn.IFS(L412&lt;=35,"YOUNG_ADULTS",L412&lt;=55,"MIDDLE_AGED",L412&gt;55,"OLD-AGED")</f>
        <v>MIDDLE_AGED</v>
      </c>
      <c r="N412" s="2" t="s">
        <v>20</v>
      </c>
      <c r="O412" t="str" cm="1">
        <f t="array" ref="O412">_xlfn.IFS(D412&lt;=50000,"low income",D412&lt;=100000,"Mid income",D412&gt;100000,"High income")</f>
        <v>low income</v>
      </c>
      <c r="P412" t="str" cm="1">
        <f t="array" ref="P412">_xlfn.IFS(E412&lt;=2,"&lt;=2",E412&gt;2,"&gt;2")</f>
        <v>&lt;=2</v>
      </c>
    </row>
    <row r="413" spans="1:16">
      <c r="A413" s="2">
        <v>11116</v>
      </c>
      <c r="B413" s="2" t="s">
        <v>16</v>
      </c>
      <c r="C413" s="2" t="s">
        <v>16</v>
      </c>
      <c r="D413" s="6">
        <v>70000</v>
      </c>
      <c r="E413" s="2">
        <v>5</v>
      </c>
      <c r="F413" s="2" t="s">
        <v>23</v>
      </c>
      <c r="G413" s="2" t="s">
        <v>19</v>
      </c>
      <c r="H413" s="2" t="s">
        <v>20</v>
      </c>
      <c r="I413" s="2">
        <v>2</v>
      </c>
      <c r="J413" s="4" t="s">
        <v>29</v>
      </c>
      <c r="K413" s="2" t="s">
        <v>30</v>
      </c>
      <c r="L413" s="2">
        <v>43</v>
      </c>
      <c r="M413" t="str" cm="1">
        <f t="array" ref="M413">_xlfn.IFS(L413&lt;=35,"YOUNG_ADULTS",L413&lt;=55,"MIDDLE_AGED",L413&gt;55,"OLD-AGED")</f>
        <v>MIDDLE_AGED</v>
      </c>
      <c r="O413" t="str" cm="1">
        <f t="array" ref="O413">_xlfn.IFS(D413&lt;=50000,"low income",D413&lt;=100000,"Mid income",D413&gt;100000,"High income")</f>
        <v>Mid income</v>
      </c>
      <c r="P413" t="str" cm="1">
        <f t="array" ref="P413">_xlfn.IFS(E413&lt;=2,"&lt;=2",E413&gt;2,"&gt;2")</f>
        <v>&gt;2</v>
      </c>
    </row>
    <row r="414" spans="1:16">
      <c r="A414" s="2">
        <v>20053</v>
      </c>
      <c r="B414" s="2" t="s">
        <v>28</v>
      </c>
      <c r="C414" s="2" t="s">
        <v>16</v>
      </c>
      <c r="D414" s="6">
        <v>40000</v>
      </c>
      <c r="E414" s="2">
        <v>2</v>
      </c>
      <c r="F414" s="2" t="s">
        <v>23</v>
      </c>
      <c r="G414" s="2" t="s">
        <v>24</v>
      </c>
      <c r="H414" s="2" t="s">
        <v>20</v>
      </c>
      <c r="I414" s="2">
        <v>0</v>
      </c>
      <c r="J414" s="4" t="s">
        <v>21</v>
      </c>
      <c r="K414" s="2" t="s">
        <v>22</v>
      </c>
      <c r="L414" s="2">
        <v>34</v>
      </c>
      <c r="M414" t="str" cm="1">
        <f t="array" ref="M414">_xlfn.IFS(L414&lt;=35,"YOUNG_ADULTS",L414&lt;=55,"MIDDLE_AGED",L414&gt;55,"OLD-AGED")</f>
        <v>YOUNG_ADULTS</v>
      </c>
      <c r="O414" t="str" cm="1">
        <f t="array" ref="O414">_xlfn.IFS(D414&lt;=50000,"low income",D414&lt;=100000,"Mid income",D414&gt;100000,"High income")</f>
        <v>low income</v>
      </c>
      <c r="P414" t="str" cm="1">
        <f t="array" ref="P414">_xlfn.IFS(E414&lt;=2,"&lt;=2",E414&gt;2,"&gt;2")</f>
        <v>&lt;=2</v>
      </c>
    </row>
    <row r="415" spans="1:16">
      <c r="A415" s="2">
        <v>25266</v>
      </c>
      <c r="B415" s="2" t="s">
        <v>28</v>
      </c>
      <c r="C415" s="2" t="s">
        <v>17</v>
      </c>
      <c r="D415" s="6">
        <v>30000</v>
      </c>
      <c r="E415" s="2">
        <v>2</v>
      </c>
      <c r="F415" s="2" t="s">
        <v>23</v>
      </c>
      <c r="G415" s="2" t="s">
        <v>24</v>
      </c>
      <c r="H415" s="2" t="s">
        <v>26</v>
      </c>
      <c r="I415" s="2">
        <v>2</v>
      </c>
      <c r="J415" s="4" t="s">
        <v>29</v>
      </c>
      <c r="K415" s="2" t="s">
        <v>30</v>
      </c>
      <c r="L415" s="2">
        <v>67</v>
      </c>
      <c r="M415" t="str" cm="1">
        <f t="array" ref="M415">_xlfn.IFS(L415&lt;=35,"YOUNG_ADULTS",L415&lt;=55,"MIDDLE_AGED",L415&gt;55,"OLD-AGED")</f>
        <v>OLD-AGED</v>
      </c>
      <c r="O415" t="str" cm="1">
        <f t="array" ref="O415">_xlfn.IFS(D415&lt;=50000,"low income",D415&lt;=100000,"Mid income",D415&gt;100000,"High income")</f>
        <v>low income</v>
      </c>
      <c r="P415" t="str" cm="1">
        <f t="array" ref="P415">_xlfn.IFS(E415&lt;=2,"&lt;=2",E415&gt;2,"&gt;2")</f>
        <v>&lt;=2</v>
      </c>
    </row>
    <row r="416" spans="1:16">
      <c r="A416" s="2">
        <v>17960</v>
      </c>
      <c r="B416" s="2" t="s">
        <v>16</v>
      </c>
      <c r="C416" s="2" t="s">
        <v>17</v>
      </c>
      <c r="D416" s="6">
        <v>40000</v>
      </c>
      <c r="E416" s="2">
        <v>0</v>
      </c>
      <c r="F416" s="2" t="s">
        <v>37</v>
      </c>
      <c r="G416" s="2" t="s">
        <v>24</v>
      </c>
      <c r="H416" s="2" t="s">
        <v>20</v>
      </c>
      <c r="I416" s="2">
        <v>0</v>
      </c>
      <c r="J416" s="4" t="s">
        <v>21</v>
      </c>
      <c r="K416" s="2" t="s">
        <v>22</v>
      </c>
      <c r="L416" s="2">
        <v>35</v>
      </c>
      <c r="M416" t="str" cm="1">
        <f t="array" ref="M416">_xlfn.IFS(L416&lt;=35,"YOUNG_ADULTS",L416&lt;=55,"MIDDLE_AGED",L416&gt;55,"OLD-AGED")</f>
        <v>YOUNG_ADULTS</v>
      </c>
      <c r="N416" s="2" t="s">
        <v>20</v>
      </c>
      <c r="O416" t="str" cm="1">
        <f t="array" ref="O416">_xlfn.IFS(D416&lt;=50000,"low income",D416&lt;=100000,"Mid income",D416&gt;100000,"High income")</f>
        <v>low income</v>
      </c>
      <c r="P416" t="str" cm="1">
        <f t="array" ref="P416">_xlfn.IFS(E416&lt;=2,"&lt;=2",E416&gt;2,"&gt;2")</f>
        <v>&lt;=2</v>
      </c>
    </row>
    <row r="417" spans="1:16">
      <c r="A417" s="2">
        <v>13961</v>
      </c>
      <c r="B417" s="2" t="s">
        <v>16</v>
      </c>
      <c r="C417" s="2" t="s">
        <v>17</v>
      </c>
      <c r="D417" s="6">
        <v>80000</v>
      </c>
      <c r="E417" s="2">
        <v>5</v>
      </c>
      <c r="F417" s="2" t="s">
        <v>37</v>
      </c>
      <c r="G417" s="2" t="s">
        <v>34</v>
      </c>
      <c r="H417" s="2" t="s">
        <v>20</v>
      </c>
      <c r="I417" s="2">
        <v>3</v>
      </c>
      <c r="J417" s="4" t="s">
        <v>21</v>
      </c>
      <c r="K417" s="2" t="s">
        <v>30</v>
      </c>
      <c r="L417" s="2">
        <v>40</v>
      </c>
      <c r="M417" t="str" cm="1">
        <f t="array" ref="M417">_xlfn.IFS(L417&lt;=35,"YOUNG_ADULTS",L417&lt;=55,"MIDDLE_AGED",L417&gt;55,"OLD-AGED")</f>
        <v>MIDDLE_AGED</v>
      </c>
      <c r="O417" t="str" cm="1">
        <f t="array" ref="O417">_xlfn.IFS(D417&lt;=50000,"low income",D417&lt;=100000,"Mid income",D417&gt;100000,"High income")</f>
        <v>Mid income</v>
      </c>
      <c r="P417" t="str" cm="1">
        <f t="array" ref="P417">_xlfn.IFS(E417&lt;=2,"&lt;=2",E417&gt;2,"&gt;2")</f>
        <v>&gt;2</v>
      </c>
    </row>
    <row r="418" spans="1:16">
      <c r="A418" s="2">
        <v>11897</v>
      </c>
      <c r="B418" s="2" t="s">
        <v>28</v>
      </c>
      <c r="C418" s="2" t="s">
        <v>16</v>
      </c>
      <c r="D418" s="6">
        <v>60000</v>
      </c>
      <c r="E418" s="2">
        <v>2</v>
      </c>
      <c r="F418" s="2" t="s">
        <v>18</v>
      </c>
      <c r="G418" s="2" t="s">
        <v>25</v>
      </c>
      <c r="H418" s="2" t="s">
        <v>26</v>
      </c>
      <c r="I418" s="2">
        <v>1</v>
      </c>
      <c r="J418" s="4" t="s">
        <v>21</v>
      </c>
      <c r="K418" s="2" t="s">
        <v>30</v>
      </c>
      <c r="L418" s="2">
        <v>37</v>
      </c>
      <c r="M418" t="str" cm="1">
        <f t="array" ref="M418">_xlfn.IFS(L418&lt;=35,"YOUNG_ADULTS",L418&lt;=55,"MIDDLE_AGED",L418&gt;55,"OLD-AGED")</f>
        <v>MIDDLE_AGED</v>
      </c>
      <c r="N418" s="2" t="s">
        <v>20</v>
      </c>
      <c r="O418" t="str" cm="1">
        <f t="array" ref="O418">_xlfn.IFS(D418&lt;=50000,"low income",D418&lt;=100000,"Mid income",D418&gt;100000,"High income")</f>
        <v>Mid income</v>
      </c>
      <c r="P418" t="str" cm="1">
        <f t="array" ref="P418">_xlfn.IFS(E418&lt;=2,"&lt;=2",E418&gt;2,"&gt;2")</f>
        <v>&lt;=2</v>
      </c>
    </row>
    <row r="419" spans="1:16">
      <c r="A419" s="2">
        <v>11139</v>
      </c>
      <c r="B419" s="2" t="s">
        <v>28</v>
      </c>
      <c r="C419" s="2" t="s">
        <v>17</v>
      </c>
      <c r="D419" s="6">
        <v>30000</v>
      </c>
      <c r="E419" s="2">
        <v>2</v>
      </c>
      <c r="F419" s="2" t="s">
        <v>23</v>
      </c>
      <c r="G419" s="2" t="s">
        <v>24</v>
      </c>
      <c r="H419" s="2" t="s">
        <v>26</v>
      </c>
      <c r="I419" s="2">
        <v>2</v>
      </c>
      <c r="J419" s="4" t="s">
        <v>29</v>
      </c>
      <c r="K419" s="2" t="s">
        <v>30</v>
      </c>
      <c r="L419" s="2">
        <v>67</v>
      </c>
      <c r="M419" t="str" cm="1">
        <f t="array" ref="M419">_xlfn.IFS(L419&lt;=35,"YOUNG_ADULTS",L419&lt;=55,"MIDDLE_AGED",L419&gt;55,"OLD-AGED")</f>
        <v>OLD-AGED</v>
      </c>
      <c r="O419" t="str" cm="1">
        <f t="array" ref="O419">_xlfn.IFS(D419&lt;=50000,"low income",D419&lt;=100000,"Mid income",D419&gt;100000,"High income")</f>
        <v>low income</v>
      </c>
      <c r="P419" t="str" cm="1">
        <f t="array" ref="P419">_xlfn.IFS(E419&lt;=2,"&lt;=2",E419&gt;2,"&gt;2")</f>
        <v>&lt;=2</v>
      </c>
    </row>
    <row r="420" spans="1:16">
      <c r="A420" s="2">
        <v>11576</v>
      </c>
      <c r="B420" s="2" t="s">
        <v>16</v>
      </c>
      <c r="C420" s="2" t="s">
        <v>16</v>
      </c>
      <c r="D420" s="6">
        <v>30000</v>
      </c>
      <c r="E420" s="2">
        <v>1</v>
      </c>
      <c r="F420" s="2" t="s">
        <v>18</v>
      </c>
      <c r="G420" s="2" t="s">
        <v>19</v>
      </c>
      <c r="H420" s="2" t="s">
        <v>20</v>
      </c>
      <c r="I420" s="2">
        <v>2</v>
      </c>
      <c r="J420" s="4" t="s">
        <v>21</v>
      </c>
      <c r="K420" s="2" t="s">
        <v>22</v>
      </c>
      <c r="L420" s="2">
        <v>41</v>
      </c>
      <c r="M420" t="str" cm="1">
        <f t="array" ref="M420">_xlfn.IFS(L420&lt;=35,"YOUNG_ADULTS",L420&lt;=55,"MIDDLE_AGED",L420&gt;55,"OLD-AGED")</f>
        <v>MIDDLE_AGED</v>
      </c>
      <c r="N420" s="2" t="s">
        <v>20</v>
      </c>
      <c r="O420" t="str" cm="1">
        <f t="array" ref="O420">_xlfn.IFS(D420&lt;=50000,"low income",D420&lt;=100000,"Mid income",D420&gt;100000,"High income")</f>
        <v>low income</v>
      </c>
      <c r="P420" t="str" cm="1">
        <f t="array" ref="P420">_xlfn.IFS(E420&lt;=2,"&lt;=2",E420&gt;2,"&gt;2")</f>
        <v>&lt;=2</v>
      </c>
    </row>
    <row r="421" spans="1:16">
      <c r="A421" s="2">
        <v>19255</v>
      </c>
      <c r="B421" s="2" t="s">
        <v>28</v>
      </c>
      <c r="C421" s="2" t="s">
        <v>16</v>
      </c>
      <c r="D421" s="6">
        <v>10000</v>
      </c>
      <c r="E421" s="2">
        <v>2</v>
      </c>
      <c r="F421" s="2" t="s">
        <v>23</v>
      </c>
      <c r="G421" s="2" t="s">
        <v>31</v>
      </c>
      <c r="H421" s="2" t="s">
        <v>20</v>
      </c>
      <c r="I421" s="2">
        <v>1</v>
      </c>
      <c r="J421" s="4" t="s">
        <v>21</v>
      </c>
      <c r="K421" s="2" t="s">
        <v>22</v>
      </c>
      <c r="L421" s="2">
        <v>51</v>
      </c>
      <c r="M421" t="str" cm="1">
        <f t="array" ref="M421">_xlfn.IFS(L421&lt;=35,"YOUNG_ADULTS",L421&lt;=55,"MIDDLE_AGED",L421&gt;55,"OLD-AGED")</f>
        <v>MIDDLE_AGED</v>
      </c>
      <c r="N421" s="2" t="s">
        <v>20</v>
      </c>
      <c r="O421" t="str" cm="1">
        <f t="array" ref="O421">_xlfn.IFS(D421&lt;=50000,"low income",D421&lt;=100000,"Mid income",D421&gt;100000,"High income")</f>
        <v>low income</v>
      </c>
      <c r="P421" t="str" cm="1">
        <f t="array" ref="P421">_xlfn.IFS(E421&lt;=2,"&lt;=2",E421&gt;2,"&gt;2")</f>
        <v>&lt;=2</v>
      </c>
    </row>
    <row r="422" spans="1:16">
      <c r="A422" s="2">
        <v>18153</v>
      </c>
      <c r="B422" s="2" t="s">
        <v>16</v>
      </c>
      <c r="C422" s="2" t="s">
        <v>17</v>
      </c>
      <c r="D422" s="6">
        <v>100000</v>
      </c>
      <c r="E422" s="2">
        <v>2</v>
      </c>
      <c r="F422" s="2" t="s">
        <v>18</v>
      </c>
      <c r="G422" s="2" t="s">
        <v>34</v>
      </c>
      <c r="H422" s="2" t="s">
        <v>20</v>
      </c>
      <c r="I422" s="2">
        <v>4</v>
      </c>
      <c r="J422" s="4" t="s">
        <v>36</v>
      </c>
      <c r="K422" s="2" t="s">
        <v>22</v>
      </c>
      <c r="L422" s="2">
        <v>59</v>
      </c>
      <c r="M422" t="str" cm="1">
        <f t="array" ref="M422">_xlfn.IFS(L422&lt;=35,"YOUNG_ADULTS",L422&lt;=55,"MIDDLE_AGED",L422&gt;55,"OLD-AGED")</f>
        <v>OLD-AGED</v>
      </c>
      <c r="O422" t="str" cm="1">
        <f t="array" ref="O422">_xlfn.IFS(D422&lt;=50000,"low income",D422&lt;=100000,"Mid income",D422&gt;100000,"High income")</f>
        <v>Mid income</v>
      </c>
      <c r="P422" t="str" cm="1">
        <f t="array" ref="P422">_xlfn.IFS(E422&lt;=2,"&lt;=2",E422&gt;2,"&gt;2")</f>
        <v>&lt;=2</v>
      </c>
    </row>
    <row r="423" spans="1:16">
      <c r="A423" s="2">
        <v>14547</v>
      </c>
      <c r="B423" s="2" t="s">
        <v>16</v>
      </c>
      <c r="C423" s="2" t="s">
        <v>16</v>
      </c>
      <c r="D423" s="6">
        <v>10000</v>
      </c>
      <c r="E423" s="2">
        <v>2</v>
      </c>
      <c r="F423" s="2" t="s">
        <v>23</v>
      </c>
      <c r="G423" s="2" t="s">
        <v>31</v>
      </c>
      <c r="H423" s="2" t="s">
        <v>20</v>
      </c>
      <c r="I423" s="2">
        <v>0</v>
      </c>
      <c r="J423" s="4" t="s">
        <v>32</v>
      </c>
      <c r="K423" s="2" t="s">
        <v>22</v>
      </c>
      <c r="L423" s="2">
        <v>51</v>
      </c>
      <c r="M423" t="str" cm="1">
        <f t="array" ref="M423">_xlfn.IFS(L423&lt;=35,"YOUNG_ADULTS",L423&lt;=55,"MIDDLE_AGED",L423&gt;55,"OLD-AGED")</f>
        <v>MIDDLE_AGED</v>
      </c>
      <c r="O423" t="str" cm="1">
        <f t="array" ref="O423">_xlfn.IFS(D423&lt;=50000,"low income",D423&lt;=100000,"Mid income",D423&gt;100000,"High income")</f>
        <v>low income</v>
      </c>
      <c r="P423" t="str" cm="1">
        <f t="array" ref="P423">_xlfn.IFS(E423&lt;=2,"&lt;=2",E423&gt;2,"&gt;2")</f>
        <v>&lt;=2</v>
      </c>
    </row>
    <row r="424" spans="1:16">
      <c r="A424" s="2">
        <v>24901</v>
      </c>
      <c r="B424" s="2" t="s">
        <v>28</v>
      </c>
      <c r="C424" s="2" t="s">
        <v>16</v>
      </c>
      <c r="D424" s="6">
        <v>110000</v>
      </c>
      <c r="E424" s="2">
        <v>0</v>
      </c>
      <c r="F424" s="2" t="s">
        <v>23</v>
      </c>
      <c r="G424" s="2" t="s">
        <v>34</v>
      </c>
      <c r="H424" s="2" t="s">
        <v>26</v>
      </c>
      <c r="I424" s="2">
        <v>3</v>
      </c>
      <c r="J424" s="4" t="s">
        <v>36</v>
      </c>
      <c r="K424" s="2" t="s">
        <v>30</v>
      </c>
      <c r="L424" s="2">
        <v>32</v>
      </c>
      <c r="M424" t="str" cm="1">
        <f t="array" ref="M424">_xlfn.IFS(L424&lt;=35,"YOUNG_ADULTS",L424&lt;=55,"MIDDLE_AGED",L424&gt;55,"OLD-AGED")</f>
        <v>YOUNG_ADULTS</v>
      </c>
      <c r="N424" s="2" t="s">
        <v>20</v>
      </c>
      <c r="O424" t="str" cm="1">
        <f t="array" ref="O424">_xlfn.IFS(D424&lt;=50000,"low income",D424&lt;=100000,"Mid income",D424&gt;100000,"High income")</f>
        <v>High income</v>
      </c>
      <c r="P424" t="str" cm="1">
        <f t="array" ref="P424">_xlfn.IFS(E424&lt;=2,"&lt;=2",E424&gt;2,"&gt;2")</f>
        <v>&lt;=2</v>
      </c>
    </row>
    <row r="425" spans="1:16">
      <c r="A425" s="2">
        <v>27169</v>
      </c>
      <c r="B425" s="2" t="s">
        <v>28</v>
      </c>
      <c r="C425" s="2" t="s">
        <v>16</v>
      </c>
      <c r="D425" s="6">
        <v>30000</v>
      </c>
      <c r="E425" s="2">
        <v>0</v>
      </c>
      <c r="F425" s="2" t="s">
        <v>33</v>
      </c>
      <c r="G425" s="2" t="s">
        <v>31</v>
      </c>
      <c r="H425" s="2" t="s">
        <v>20</v>
      </c>
      <c r="I425" s="2">
        <v>1</v>
      </c>
      <c r="J425" s="4" t="s">
        <v>27</v>
      </c>
      <c r="K425" s="2" t="s">
        <v>22</v>
      </c>
      <c r="L425" s="2">
        <v>34</v>
      </c>
      <c r="M425" t="str" cm="1">
        <f t="array" ref="M425">_xlfn.IFS(L425&lt;=35,"YOUNG_ADULTS",L425&lt;=55,"MIDDLE_AGED",L425&gt;55,"OLD-AGED")</f>
        <v>YOUNG_ADULTS</v>
      </c>
      <c r="N425" s="2" t="s">
        <v>20</v>
      </c>
      <c r="O425" t="str" cm="1">
        <f t="array" ref="O425">_xlfn.IFS(D425&lt;=50000,"low income",D425&lt;=100000,"Mid income",D425&gt;100000,"High income")</f>
        <v>low income</v>
      </c>
      <c r="P425" t="str" cm="1">
        <f t="array" ref="P425">_xlfn.IFS(E425&lt;=2,"&lt;=2",E425&gt;2,"&gt;2")</f>
        <v>&lt;=2</v>
      </c>
    </row>
    <row r="426" spans="1:16">
      <c r="A426" s="2">
        <v>14805</v>
      </c>
      <c r="B426" s="2" t="s">
        <v>28</v>
      </c>
      <c r="C426" s="2" t="s">
        <v>17</v>
      </c>
      <c r="D426" s="6">
        <v>10000</v>
      </c>
      <c r="E426" s="2">
        <v>3</v>
      </c>
      <c r="F426" s="2" t="s">
        <v>35</v>
      </c>
      <c r="G426" s="2" t="s">
        <v>31</v>
      </c>
      <c r="H426" s="2" t="s">
        <v>20</v>
      </c>
      <c r="I426" s="2">
        <v>2</v>
      </c>
      <c r="J426" s="4" t="s">
        <v>21</v>
      </c>
      <c r="K426" s="2" t="s">
        <v>22</v>
      </c>
      <c r="L426" s="2">
        <v>43</v>
      </c>
      <c r="M426" t="str" cm="1">
        <f t="array" ref="M426">_xlfn.IFS(L426&lt;=35,"YOUNG_ADULTS",L426&lt;=55,"MIDDLE_AGED",L426&gt;55,"OLD-AGED")</f>
        <v>MIDDLE_AGED</v>
      </c>
      <c r="O426" t="str" cm="1">
        <f t="array" ref="O426">_xlfn.IFS(D426&lt;=50000,"low income",D426&lt;=100000,"Mid income",D426&gt;100000,"High income")</f>
        <v>low income</v>
      </c>
      <c r="P426" t="str" cm="1">
        <f t="array" ref="P426">_xlfn.IFS(E426&lt;=2,"&lt;=2",E426&gt;2,"&gt;2")</f>
        <v>&gt;2</v>
      </c>
    </row>
    <row r="427" spans="1:16">
      <c r="A427" s="2">
        <v>15822</v>
      </c>
      <c r="B427" s="2" t="s">
        <v>16</v>
      </c>
      <c r="C427" s="2" t="s">
        <v>16</v>
      </c>
      <c r="D427" s="6">
        <v>40000</v>
      </c>
      <c r="E427" s="2">
        <v>2</v>
      </c>
      <c r="F427" s="2" t="s">
        <v>18</v>
      </c>
      <c r="G427" s="2" t="s">
        <v>34</v>
      </c>
      <c r="H427" s="2" t="s">
        <v>20</v>
      </c>
      <c r="I427" s="2">
        <v>2</v>
      </c>
      <c r="J427" s="4" t="s">
        <v>21</v>
      </c>
      <c r="K427" s="2" t="s">
        <v>30</v>
      </c>
      <c r="L427" s="2">
        <v>67</v>
      </c>
      <c r="M427" t="str" cm="1">
        <f t="array" ref="M427">_xlfn.IFS(L427&lt;=35,"YOUNG_ADULTS",L427&lt;=55,"MIDDLE_AGED",L427&gt;55,"OLD-AGED")</f>
        <v>OLD-AGED</v>
      </c>
      <c r="O427" t="str" cm="1">
        <f t="array" ref="O427">_xlfn.IFS(D427&lt;=50000,"low income",D427&lt;=100000,"Mid income",D427&gt;100000,"High income")</f>
        <v>low income</v>
      </c>
      <c r="P427" t="str" cm="1">
        <f t="array" ref="P427">_xlfn.IFS(E427&lt;=2,"&lt;=2",E427&gt;2,"&gt;2")</f>
        <v>&lt;=2</v>
      </c>
    </row>
    <row r="428" spans="1:16">
      <c r="A428" s="2">
        <v>19389</v>
      </c>
      <c r="B428" s="2" t="s">
        <v>28</v>
      </c>
      <c r="C428" s="2" t="s">
        <v>16</v>
      </c>
      <c r="D428" s="6">
        <v>30000</v>
      </c>
      <c r="E428" s="2">
        <v>0</v>
      </c>
      <c r="F428" s="2" t="s">
        <v>23</v>
      </c>
      <c r="G428" s="2" t="s">
        <v>24</v>
      </c>
      <c r="H428" s="2" t="s">
        <v>26</v>
      </c>
      <c r="I428" s="2">
        <v>1</v>
      </c>
      <c r="J428" s="4" t="s">
        <v>27</v>
      </c>
      <c r="K428" s="2" t="s">
        <v>22</v>
      </c>
      <c r="L428" s="2">
        <v>28</v>
      </c>
      <c r="M428" t="str" cm="1">
        <f t="array" ref="M428">_xlfn.IFS(L428&lt;=35,"YOUNG_ADULTS",L428&lt;=55,"MIDDLE_AGED",L428&gt;55,"OLD-AGED")</f>
        <v>YOUNG_ADULTS</v>
      </c>
      <c r="O428" t="str" cm="1">
        <f t="array" ref="O428">_xlfn.IFS(D428&lt;=50000,"low income",D428&lt;=100000,"Mid income",D428&gt;100000,"High income")</f>
        <v>low income</v>
      </c>
      <c r="P428" t="str" cm="1">
        <f t="array" ref="P428">_xlfn.IFS(E428&lt;=2,"&lt;=2",E428&gt;2,"&gt;2")</f>
        <v>&lt;=2</v>
      </c>
    </row>
    <row r="429" spans="1:16">
      <c r="A429" s="2">
        <v>17048</v>
      </c>
      <c r="B429" s="2" t="s">
        <v>28</v>
      </c>
      <c r="C429" s="2" t="s">
        <v>17</v>
      </c>
      <c r="D429" s="6">
        <v>90000</v>
      </c>
      <c r="E429" s="2">
        <v>1</v>
      </c>
      <c r="F429" s="2" t="s">
        <v>37</v>
      </c>
      <c r="G429" s="2" t="s">
        <v>34</v>
      </c>
      <c r="H429" s="2" t="s">
        <v>20</v>
      </c>
      <c r="I429" s="2">
        <v>0</v>
      </c>
      <c r="J429" s="4" t="s">
        <v>21</v>
      </c>
      <c r="K429" s="2" t="s">
        <v>30</v>
      </c>
      <c r="L429" s="2">
        <v>36</v>
      </c>
      <c r="M429" t="str" cm="1">
        <f t="array" ref="M429">_xlfn.IFS(L429&lt;=35,"YOUNG_ADULTS",L429&lt;=55,"MIDDLE_AGED",L429&gt;55,"OLD-AGED")</f>
        <v>MIDDLE_AGED</v>
      </c>
      <c r="N429" s="2" t="s">
        <v>20</v>
      </c>
      <c r="O429" t="str" cm="1">
        <f t="array" ref="O429">_xlfn.IFS(D429&lt;=50000,"low income",D429&lt;=100000,"Mid income",D429&gt;100000,"High income")</f>
        <v>Mid income</v>
      </c>
      <c r="P429" t="str" cm="1">
        <f t="array" ref="P429">_xlfn.IFS(E429&lt;=2,"&lt;=2",E429&gt;2,"&gt;2")</f>
        <v>&lt;=2</v>
      </c>
    </row>
    <row r="430" spans="1:16">
      <c r="A430" s="2">
        <v>22204</v>
      </c>
      <c r="B430" s="2" t="s">
        <v>16</v>
      </c>
      <c r="C430" s="2" t="s">
        <v>16</v>
      </c>
      <c r="D430" s="6">
        <v>110000</v>
      </c>
      <c r="E430" s="2">
        <v>4</v>
      </c>
      <c r="F430" s="2" t="s">
        <v>18</v>
      </c>
      <c r="G430" s="2" t="s">
        <v>34</v>
      </c>
      <c r="H430" s="2" t="s">
        <v>20</v>
      </c>
      <c r="I430" s="2">
        <v>3</v>
      </c>
      <c r="J430" s="4" t="s">
        <v>27</v>
      </c>
      <c r="K430" s="2" t="s">
        <v>30</v>
      </c>
      <c r="L430" s="2">
        <v>48</v>
      </c>
      <c r="M430" t="str" cm="1">
        <f t="array" ref="M430">_xlfn.IFS(L430&lt;=35,"YOUNG_ADULTS",L430&lt;=55,"MIDDLE_AGED",L430&gt;55,"OLD-AGED")</f>
        <v>MIDDLE_AGED</v>
      </c>
      <c r="O430" t="str" cm="1">
        <f t="array" ref="O430">_xlfn.IFS(D430&lt;=50000,"low income",D430&lt;=100000,"Mid income",D430&gt;100000,"High income")</f>
        <v>High income</v>
      </c>
      <c r="P430" t="str" cm="1">
        <f t="array" ref="P430">_xlfn.IFS(E430&lt;=2,"&lt;=2",E430&gt;2,"&gt;2")</f>
        <v>&gt;2</v>
      </c>
    </row>
    <row r="431" spans="1:16">
      <c r="A431" s="2">
        <v>12718</v>
      </c>
      <c r="B431" s="2" t="s">
        <v>28</v>
      </c>
      <c r="C431" s="2" t="s">
        <v>17</v>
      </c>
      <c r="D431" s="6">
        <v>30000</v>
      </c>
      <c r="E431" s="2">
        <v>0</v>
      </c>
      <c r="F431" s="2" t="s">
        <v>23</v>
      </c>
      <c r="G431" s="2" t="s">
        <v>24</v>
      </c>
      <c r="H431" s="2" t="s">
        <v>20</v>
      </c>
      <c r="I431" s="2">
        <v>1</v>
      </c>
      <c r="J431" s="4" t="s">
        <v>27</v>
      </c>
      <c r="K431" s="2" t="s">
        <v>22</v>
      </c>
      <c r="L431" s="2">
        <v>31</v>
      </c>
      <c r="M431" t="str" cm="1">
        <f t="array" ref="M431">_xlfn.IFS(L431&lt;=35,"YOUNG_ADULTS",L431&lt;=55,"MIDDLE_AGED",L431&gt;55,"OLD-AGED")</f>
        <v>YOUNG_ADULTS</v>
      </c>
      <c r="O431" t="str" cm="1">
        <f t="array" ref="O431">_xlfn.IFS(D431&lt;=50000,"low income",D431&lt;=100000,"Mid income",D431&gt;100000,"High income")</f>
        <v>low income</v>
      </c>
      <c r="P431" t="str" cm="1">
        <f t="array" ref="P431">_xlfn.IFS(E431&lt;=2,"&lt;=2",E431&gt;2,"&gt;2")</f>
        <v>&lt;=2</v>
      </c>
    </row>
    <row r="432" spans="1:16">
      <c r="A432" s="2">
        <v>15019</v>
      </c>
      <c r="B432" s="2" t="s">
        <v>28</v>
      </c>
      <c r="C432" s="2" t="s">
        <v>17</v>
      </c>
      <c r="D432" s="6">
        <v>30000</v>
      </c>
      <c r="E432" s="2">
        <v>3</v>
      </c>
      <c r="F432" s="2" t="s">
        <v>33</v>
      </c>
      <c r="G432" s="2" t="s">
        <v>19</v>
      </c>
      <c r="H432" s="2" t="s">
        <v>20</v>
      </c>
      <c r="I432" s="2">
        <v>2</v>
      </c>
      <c r="J432" s="4" t="s">
        <v>29</v>
      </c>
      <c r="K432" s="2" t="s">
        <v>30</v>
      </c>
      <c r="L432" s="2">
        <v>55</v>
      </c>
      <c r="M432" t="str" cm="1">
        <f t="array" ref="M432">_xlfn.IFS(L432&lt;=35,"YOUNG_ADULTS",L432&lt;=55,"MIDDLE_AGED",L432&gt;55,"OLD-AGED")</f>
        <v>MIDDLE_AGED</v>
      </c>
      <c r="O432" t="str" cm="1">
        <f t="array" ref="O432">_xlfn.IFS(D432&lt;=50000,"low income",D432&lt;=100000,"Mid income",D432&gt;100000,"High income")</f>
        <v>low income</v>
      </c>
      <c r="P432" t="str" cm="1">
        <f t="array" ref="P432">_xlfn.IFS(E432&lt;=2,"&lt;=2",E432&gt;2,"&gt;2")</f>
        <v>&gt;2</v>
      </c>
    </row>
    <row r="433" spans="1:16">
      <c r="A433" s="2">
        <v>28488</v>
      </c>
      <c r="B433" s="2" t="s">
        <v>28</v>
      </c>
      <c r="C433" s="2" t="s">
        <v>16</v>
      </c>
      <c r="D433" s="6">
        <v>20000</v>
      </c>
      <c r="E433" s="2">
        <v>0</v>
      </c>
      <c r="F433" s="2" t="s">
        <v>23</v>
      </c>
      <c r="G433" s="2" t="s">
        <v>31</v>
      </c>
      <c r="H433" s="2" t="s">
        <v>20</v>
      </c>
      <c r="I433" s="2">
        <v>0</v>
      </c>
      <c r="J433" s="4" t="s">
        <v>21</v>
      </c>
      <c r="K433" s="2" t="s">
        <v>30</v>
      </c>
      <c r="L433" s="2">
        <v>28</v>
      </c>
      <c r="M433" t="str" cm="1">
        <f t="array" ref="M433">_xlfn.IFS(L433&lt;=35,"YOUNG_ADULTS",L433&lt;=55,"MIDDLE_AGED",L433&gt;55,"OLD-AGED")</f>
        <v>YOUNG_ADULTS</v>
      </c>
      <c r="N433" s="2" t="s">
        <v>20</v>
      </c>
      <c r="O433" t="str" cm="1">
        <f t="array" ref="O433">_xlfn.IFS(D433&lt;=50000,"low income",D433&lt;=100000,"Mid income",D433&gt;100000,"High income")</f>
        <v>low income</v>
      </c>
      <c r="P433" t="str" cm="1">
        <f t="array" ref="P433">_xlfn.IFS(E433&lt;=2,"&lt;=2",E433&gt;2,"&gt;2")</f>
        <v>&lt;=2</v>
      </c>
    </row>
    <row r="434" spans="1:16">
      <c r="A434" s="2">
        <v>21891</v>
      </c>
      <c r="B434" s="2" t="s">
        <v>16</v>
      </c>
      <c r="C434" s="2" t="s">
        <v>17</v>
      </c>
      <c r="D434" s="6">
        <v>110000</v>
      </c>
      <c r="E434" s="2">
        <v>0</v>
      </c>
      <c r="F434" s="2" t="s">
        <v>33</v>
      </c>
      <c r="G434" s="2" t="s">
        <v>34</v>
      </c>
      <c r="H434" s="2" t="s">
        <v>20</v>
      </c>
      <c r="I434" s="2">
        <v>3</v>
      </c>
      <c r="J434" s="4" t="s">
        <v>36</v>
      </c>
      <c r="K434" s="2" t="s">
        <v>30</v>
      </c>
      <c r="L434" s="2">
        <v>34</v>
      </c>
      <c r="M434" t="str" cm="1">
        <f t="array" ref="M434">_xlfn.IFS(L434&lt;=35,"YOUNG_ADULTS",L434&lt;=55,"MIDDLE_AGED",L434&gt;55,"OLD-AGED")</f>
        <v>YOUNG_ADULTS</v>
      </c>
      <c r="N434" s="2" t="s">
        <v>20</v>
      </c>
      <c r="O434" t="str" cm="1">
        <f t="array" ref="O434">_xlfn.IFS(D434&lt;=50000,"low income",D434&lt;=100000,"Mid income",D434&gt;100000,"High income")</f>
        <v>High income</v>
      </c>
      <c r="P434" t="str" cm="1">
        <f t="array" ref="P434">_xlfn.IFS(E434&lt;=2,"&lt;=2",E434&gt;2,"&gt;2")</f>
        <v>&lt;=2</v>
      </c>
    </row>
    <row r="435" spans="1:16">
      <c r="A435" s="2">
        <v>27814</v>
      </c>
      <c r="B435" s="2" t="s">
        <v>28</v>
      </c>
      <c r="C435" s="2" t="s">
        <v>17</v>
      </c>
      <c r="D435" s="6">
        <v>30000</v>
      </c>
      <c r="E435" s="2">
        <v>3</v>
      </c>
      <c r="F435" s="2" t="s">
        <v>23</v>
      </c>
      <c r="G435" s="2" t="s">
        <v>24</v>
      </c>
      <c r="H435" s="2" t="s">
        <v>26</v>
      </c>
      <c r="I435" s="2">
        <v>1</v>
      </c>
      <c r="J435" s="4" t="s">
        <v>21</v>
      </c>
      <c r="K435" s="2" t="s">
        <v>22</v>
      </c>
      <c r="L435" s="2">
        <v>26</v>
      </c>
      <c r="M435" t="str" cm="1">
        <f t="array" ref="M435">_xlfn.IFS(L435&lt;=35,"YOUNG_ADULTS",L435&lt;=55,"MIDDLE_AGED",L435&gt;55,"OLD-AGED")</f>
        <v>YOUNG_ADULTS</v>
      </c>
      <c r="O435" t="str" cm="1">
        <f t="array" ref="O435">_xlfn.IFS(D435&lt;=50000,"low income",D435&lt;=100000,"Mid income",D435&gt;100000,"High income")</f>
        <v>low income</v>
      </c>
      <c r="P435" t="str" cm="1">
        <f t="array" ref="P435">_xlfn.IFS(E435&lt;=2,"&lt;=2",E435&gt;2,"&gt;2")</f>
        <v>&gt;2</v>
      </c>
    </row>
    <row r="436" spans="1:16">
      <c r="A436" s="2">
        <v>22175</v>
      </c>
      <c r="B436" s="2" t="s">
        <v>16</v>
      </c>
      <c r="C436" s="2" t="s">
        <v>17</v>
      </c>
      <c r="D436" s="6">
        <v>30000</v>
      </c>
      <c r="E436" s="2">
        <v>3</v>
      </c>
      <c r="F436" s="2" t="s">
        <v>33</v>
      </c>
      <c r="G436" s="2" t="s">
        <v>19</v>
      </c>
      <c r="H436" s="2" t="s">
        <v>20</v>
      </c>
      <c r="I436" s="2">
        <v>2</v>
      </c>
      <c r="J436" s="4" t="s">
        <v>29</v>
      </c>
      <c r="K436" s="2" t="s">
        <v>30</v>
      </c>
      <c r="L436" s="2">
        <v>53</v>
      </c>
      <c r="M436" t="str" cm="1">
        <f t="array" ref="M436">_xlfn.IFS(L436&lt;=35,"YOUNG_ADULTS",L436&lt;=55,"MIDDLE_AGED",L436&gt;55,"OLD-AGED")</f>
        <v>MIDDLE_AGED</v>
      </c>
      <c r="N436" s="2" t="s">
        <v>20</v>
      </c>
      <c r="O436" t="str" cm="1">
        <f t="array" ref="O436">_xlfn.IFS(D436&lt;=50000,"low income",D436&lt;=100000,"Mid income",D436&gt;100000,"High income")</f>
        <v>low income</v>
      </c>
      <c r="P436" t="str" cm="1">
        <f t="array" ref="P436">_xlfn.IFS(E436&lt;=2,"&lt;=2",E436&gt;2,"&gt;2")</f>
        <v>&gt;2</v>
      </c>
    </row>
    <row r="437" spans="1:16">
      <c r="A437" s="2">
        <v>29447</v>
      </c>
      <c r="B437" s="2" t="s">
        <v>28</v>
      </c>
      <c r="C437" s="2" t="s">
        <v>17</v>
      </c>
      <c r="D437" s="6">
        <v>10000</v>
      </c>
      <c r="E437" s="2">
        <v>2</v>
      </c>
      <c r="F437" s="2" t="s">
        <v>18</v>
      </c>
      <c r="G437" s="2" t="s">
        <v>24</v>
      </c>
      <c r="H437" s="2" t="s">
        <v>26</v>
      </c>
      <c r="I437" s="2">
        <v>1</v>
      </c>
      <c r="J437" s="4" t="s">
        <v>27</v>
      </c>
      <c r="K437" s="2" t="s">
        <v>22</v>
      </c>
      <c r="L437" s="2">
        <v>68</v>
      </c>
      <c r="M437" t="str" cm="1">
        <f t="array" ref="M437">_xlfn.IFS(L437&lt;=35,"YOUNG_ADULTS",L437&lt;=55,"MIDDLE_AGED",L437&gt;55,"OLD-AGED")</f>
        <v>OLD-AGED</v>
      </c>
      <c r="O437" t="str" cm="1">
        <f t="array" ref="O437">_xlfn.IFS(D437&lt;=50000,"low income",D437&lt;=100000,"Mid income",D437&gt;100000,"High income")</f>
        <v>low income</v>
      </c>
      <c r="P437" t="str" cm="1">
        <f t="array" ref="P437">_xlfn.IFS(E437&lt;=2,"&lt;=2",E437&gt;2,"&gt;2")</f>
        <v>&lt;=2</v>
      </c>
    </row>
    <row r="438" spans="1:16">
      <c r="A438" s="2">
        <v>19784</v>
      </c>
      <c r="B438" s="2" t="s">
        <v>16</v>
      </c>
      <c r="C438" s="2" t="s">
        <v>17</v>
      </c>
      <c r="D438" s="6">
        <v>80000</v>
      </c>
      <c r="E438" s="2">
        <v>2</v>
      </c>
      <c r="F438" s="2" t="s">
        <v>33</v>
      </c>
      <c r="G438" s="2" t="s">
        <v>19</v>
      </c>
      <c r="H438" s="2" t="s">
        <v>20</v>
      </c>
      <c r="I438" s="2">
        <v>2</v>
      </c>
      <c r="J438" s="4" t="s">
        <v>29</v>
      </c>
      <c r="K438" s="2" t="s">
        <v>30</v>
      </c>
      <c r="L438" s="2">
        <v>50</v>
      </c>
      <c r="M438" t="str" cm="1">
        <f t="array" ref="M438">_xlfn.IFS(L438&lt;=35,"YOUNG_ADULTS",L438&lt;=55,"MIDDLE_AGED",L438&gt;55,"OLD-AGED")</f>
        <v>MIDDLE_AGED</v>
      </c>
      <c r="N438" s="2" t="s">
        <v>20</v>
      </c>
      <c r="O438" t="str" cm="1">
        <f t="array" ref="O438">_xlfn.IFS(D438&lt;=50000,"low income",D438&lt;=100000,"Mid income",D438&gt;100000,"High income")</f>
        <v>Mid income</v>
      </c>
      <c r="P438" t="str" cm="1">
        <f t="array" ref="P438">_xlfn.IFS(E438&lt;=2,"&lt;=2",E438&gt;2,"&gt;2")</f>
        <v>&lt;=2</v>
      </c>
    </row>
    <row r="439" spans="1:16">
      <c r="A439" s="2">
        <v>27824</v>
      </c>
      <c r="B439" s="2" t="s">
        <v>28</v>
      </c>
      <c r="C439" s="2" t="s">
        <v>17</v>
      </c>
      <c r="D439" s="6">
        <v>30000</v>
      </c>
      <c r="E439" s="2">
        <v>3</v>
      </c>
      <c r="F439" s="2" t="s">
        <v>23</v>
      </c>
      <c r="G439" s="2" t="s">
        <v>24</v>
      </c>
      <c r="H439" s="2" t="s">
        <v>20</v>
      </c>
      <c r="I439" s="2">
        <v>2</v>
      </c>
      <c r="J439" s="4" t="s">
        <v>21</v>
      </c>
      <c r="K439" s="2" t="s">
        <v>22</v>
      </c>
      <c r="L439" s="2">
        <v>28</v>
      </c>
      <c r="M439" t="str" cm="1">
        <f t="array" ref="M439">_xlfn.IFS(L439&lt;=35,"YOUNG_ADULTS",L439&lt;=55,"MIDDLE_AGED",L439&gt;55,"OLD-AGED")</f>
        <v>YOUNG_ADULTS</v>
      </c>
      <c r="N439" s="2" t="s">
        <v>20</v>
      </c>
      <c r="O439" t="str" cm="1">
        <f t="array" ref="O439">_xlfn.IFS(D439&lt;=50000,"low income",D439&lt;=100000,"Mid income",D439&gt;100000,"High income")</f>
        <v>low income</v>
      </c>
      <c r="P439" t="str" cm="1">
        <f t="array" ref="P439">_xlfn.IFS(E439&lt;=2,"&lt;=2",E439&gt;2,"&gt;2")</f>
        <v>&gt;2</v>
      </c>
    </row>
    <row r="440" spans="1:16">
      <c r="A440" s="2">
        <v>24093</v>
      </c>
      <c r="B440" s="2" t="s">
        <v>28</v>
      </c>
      <c r="C440" s="2" t="s">
        <v>17</v>
      </c>
      <c r="D440" s="6">
        <v>80000</v>
      </c>
      <c r="E440" s="2">
        <v>0</v>
      </c>
      <c r="F440" s="2" t="s">
        <v>37</v>
      </c>
      <c r="G440" s="2" t="s">
        <v>19</v>
      </c>
      <c r="H440" s="2" t="s">
        <v>26</v>
      </c>
      <c r="I440" s="2">
        <v>0</v>
      </c>
      <c r="J440" s="4" t="s">
        <v>21</v>
      </c>
      <c r="K440" s="2" t="s">
        <v>22</v>
      </c>
      <c r="L440" s="2">
        <v>40</v>
      </c>
      <c r="M440" t="str" cm="1">
        <f t="array" ref="M440">_xlfn.IFS(L440&lt;=35,"YOUNG_ADULTS",L440&lt;=55,"MIDDLE_AGED",L440&gt;55,"OLD-AGED")</f>
        <v>MIDDLE_AGED</v>
      </c>
      <c r="N440" s="2" t="s">
        <v>20</v>
      </c>
      <c r="O440" t="str" cm="1">
        <f t="array" ref="O440">_xlfn.IFS(D440&lt;=50000,"low income",D440&lt;=100000,"Mid income",D440&gt;100000,"High income")</f>
        <v>Mid income</v>
      </c>
      <c r="P440" t="str" cm="1">
        <f t="array" ref="P440">_xlfn.IFS(E440&lt;=2,"&lt;=2",E440&gt;2,"&gt;2")</f>
        <v>&lt;=2</v>
      </c>
    </row>
    <row r="441" spans="1:16">
      <c r="A441" s="2">
        <v>19618</v>
      </c>
      <c r="B441" s="2" t="s">
        <v>16</v>
      </c>
      <c r="C441" s="2" t="s">
        <v>16</v>
      </c>
      <c r="D441" s="6">
        <v>70000</v>
      </c>
      <c r="E441" s="2">
        <v>5</v>
      </c>
      <c r="F441" s="2" t="s">
        <v>23</v>
      </c>
      <c r="G441" s="2" t="s">
        <v>19</v>
      </c>
      <c r="H441" s="2" t="s">
        <v>20</v>
      </c>
      <c r="I441" s="2">
        <v>2</v>
      </c>
      <c r="J441" s="4" t="s">
        <v>21</v>
      </c>
      <c r="K441" s="2" t="s">
        <v>30</v>
      </c>
      <c r="L441" s="2">
        <v>44</v>
      </c>
      <c r="M441" t="str" cm="1">
        <f t="array" ref="M441">_xlfn.IFS(L441&lt;=35,"YOUNG_ADULTS",L441&lt;=55,"MIDDLE_AGED",L441&gt;55,"OLD-AGED")</f>
        <v>MIDDLE_AGED</v>
      </c>
      <c r="O441" t="str" cm="1">
        <f t="array" ref="O441">_xlfn.IFS(D441&lt;=50000,"low income",D441&lt;=100000,"Mid income",D441&gt;100000,"High income")</f>
        <v>Mid income</v>
      </c>
      <c r="P441" t="str" cm="1">
        <f t="array" ref="P441">_xlfn.IFS(E441&lt;=2,"&lt;=2",E441&gt;2,"&gt;2")</f>
        <v>&gt;2</v>
      </c>
    </row>
    <row r="442" spans="1:16">
      <c r="A442" s="2">
        <v>21561</v>
      </c>
      <c r="B442" s="2" t="s">
        <v>28</v>
      </c>
      <c r="C442" s="2" t="s">
        <v>16</v>
      </c>
      <c r="D442" s="6">
        <v>90000</v>
      </c>
      <c r="E442" s="2">
        <v>0</v>
      </c>
      <c r="F442" s="2" t="s">
        <v>18</v>
      </c>
      <c r="G442" s="2" t="s">
        <v>25</v>
      </c>
      <c r="H442" s="2" t="s">
        <v>26</v>
      </c>
      <c r="I442" s="2">
        <v>3</v>
      </c>
      <c r="J442" s="4" t="s">
        <v>36</v>
      </c>
      <c r="K442" s="2" t="s">
        <v>30</v>
      </c>
      <c r="L442" s="2">
        <v>34</v>
      </c>
      <c r="M442" t="str" cm="1">
        <f t="array" ref="M442">_xlfn.IFS(L442&lt;=35,"YOUNG_ADULTS",L442&lt;=55,"MIDDLE_AGED",L442&gt;55,"OLD-AGED")</f>
        <v>YOUNG_ADULTS</v>
      </c>
      <c r="N442" s="2" t="s">
        <v>20</v>
      </c>
      <c r="O442" t="str" cm="1">
        <f t="array" ref="O442">_xlfn.IFS(D442&lt;=50000,"low income",D442&lt;=100000,"Mid income",D442&gt;100000,"High income")</f>
        <v>Mid income</v>
      </c>
      <c r="P442" t="str" cm="1">
        <f t="array" ref="P442">_xlfn.IFS(E442&lt;=2,"&lt;=2",E442&gt;2,"&gt;2")</f>
        <v>&lt;=2</v>
      </c>
    </row>
    <row r="443" spans="1:16">
      <c r="A443" s="2">
        <v>11061</v>
      </c>
      <c r="B443" s="2" t="s">
        <v>16</v>
      </c>
      <c r="C443" s="2" t="s">
        <v>16</v>
      </c>
      <c r="D443" s="6">
        <v>70000</v>
      </c>
      <c r="E443" s="2">
        <v>2</v>
      </c>
      <c r="F443" s="2" t="s">
        <v>23</v>
      </c>
      <c r="G443" s="2" t="s">
        <v>19</v>
      </c>
      <c r="H443" s="2" t="s">
        <v>20</v>
      </c>
      <c r="I443" s="2">
        <v>2</v>
      </c>
      <c r="J443" s="4" t="s">
        <v>29</v>
      </c>
      <c r="K443" s="2" t="s">
        <v>30</v>
      </c>
      <c r="L443" s="2">
        <v>52</v>
      </c>
      <c r="M443" t="str" cm="1">
        <f t="array" ref="M443">_xlfn.IFS(L443&lt;=35,"YOUNG_ADULTS",L443&lt;=55,"MIDDLE_AGED",L443&gt;55,"OLD-AGED")</f>
        <v>MIDDLE_AGED</v>
      </c>
      <c r="N443" s="2" t="s">
        <v>20</v>
      </c>
      <c r="O443" t="str" cm="1">
        <f t="array" ref="O443">_xlfn.IFS(D443&lt;=50000,"low income",D443&lt;=100000,"Mid income",D443&gt;100000,"High income")</f>
        <v>Mid income</v>
      </c>
      <c r="P443" t="str" cm="1">
        <f t="array" ref="P443">_xlfn.IFS(E443&lt;=2,"&lt;=2",E443&gt;2,"&gt;2")</f>
        <v>&lt;=2</v>
      </c>
    </row>
    <row r="444" spans="1:16">
      <c r="A444" s="2">
        <v>26651</v>
      </c>
      <c r="B444" s="2" t="s">
        <v>28</v>
      </c>
      <c r="C444" s="2" t="s">
        <v>16</v>
      </c>
      <c r="D444" s="6">
        <v>80000</v>
      </c>
      <c r="E444" s="2">
        <v>4</v>
      </c>
      <c r="F444" s="2" t="s">
        <v>37</v>
      </c>
      <c r="G444" s="2" t="s">
        <v>34</v>
      </c>
      <c r="H444" s="2" t="s">
        <v>20</v>
      </c>
      <c r="I444" s="2">
        <v>0</v>
      </c>
      <c r="J444" s="4" t="s">
        <v>21</v>
      </c>
      <c r="K444" s="2" t="s">
        <v>30</v>
      </c>
      <c r="L444" s="2">
        <v>36</v>
      </c>
      <c r="M444" t="str" cm="1">
        <f t="array" ref="M444">_xlfn.IFS(L444&lt;=35,"YOUNG_ADULTS",L444&lt;=55,"MIDDLE_AGED",L444&gt;55,"OLD-AGED")</f>
        <v>MIDDLE_AGED</v>
      </c>
      <c r="N444" s="2" t="s">
        <v>20</v>
      </c>
      <c r="O444" t="str" cm="1">
        <f t="array" ref="O444">_xlfn.IFS(D444&lt;=50000,"low income",D444&lt;=100000,"Mid income",D444&gt;100000,"High income")</f>
        <v>Mid income</v>
      </c>
      <c r="P444" t="str" cm="1">
        <f t="array" ref="P444">_xlfn.IFS(E444&lt;=2,"&lt;=2",E444&gt;2,"&gt;2")</f>
        <v>&gt;2</v>
      </c>
    </row>
    <row r="445" spans="1:16">
      <c r="A445" s="2">
        <v>21108</v>
      </c>
      <c r="B445" s="2" t="s">
        <v>16</v>
      </c>
      <c r="C445" s="2" t="s">
        <v>17</v>
      </c>
      <c r="D445" s="6">
        <v>40000</v>
      </c>
      <c r="E445" s="2">
        <v>1</v>
      </c>
      <c r="F445" s="2" t="s">
        <v>18</v>
      </c>
      <c r="G445" s="2" t="s">
        <v>19</v>
      </c>
      <c r="H445" s="2" t="s">
        <v>20</v>
      </c>
      <c r="I445" s="2">
        <v>1</v>
      </c>
      <c r="J445" s="4" t="s">
        <v>21</v>
      </c>
      <c r="K445" s="2" t="s">
        <v>22</v>
      </c>
      <c r="L445" s="2">
        <v>43</v>
      </c>
      <c r="M445" t="str" cm="1">
        <f t="array" ref="M445">_xlfn.IFS(L445&lt;=35,"YOUNG_ADULTS",L445&lt;=55,"MIDDLE_AGED",L445&gt;55,"OLD-AGED")</f>
        <v>MIDDLE_AGED</v>
      </c>
      <c r="N445" s="2" t="s">
        <v>20</v>
      </c>
      <c r="O445" t="str" cm="1">
        <f t="array" ref="O445">_xlfn.IFS(D445&lt;=50000,"low income",D445&lt;=100000,"Mid income",D445&gt;100000,"High income")</f>
        <v>low income</v>
      </c>
      <c r="P445" t="str" cm="1">
        <f t="array" ref="P445">_xlfn.IFS(E445&lt;=2,"&lt;=2",E445&gt;2,"&gt;2")</f>
        <v>&lt;=2</v>
      </c>
    </row>
    <row r="446" spans="1:16">
      <c r="A446" s="2">
        <v>12731</v>
      </c>
      <c r="B446" s="2" t="s">
        <v>28</v>
      </c>
      <c r="C446" s="2" t="s">
        <v>16</v>
      </c>
      <c r="D446" s="6">
        <v>30000</v>
      </c>
      <c r="E446" s="2">
        <v>0</v>
      </c>
      <c r="F446" s="2" t="s">
        <v>33</v>
      </c>
      <c r="G446" s="2" t="s">
        <v>31</v>
      </c>
      <c r="H446" s="2" t="s">
        <v>26</v>
      </c>
      <c r="I446" s="2">
        <v>1</v>
      </c>
      <c r="J446" s="4" t="s">
        <v>32</v>
      </c>
      <c r="K446" s="2" t="s">
        <v>22</v>
      </c>
      <c r="L446" s="2">
        <v>32</v>
      </c>
      <c r="M446" t="str" cm="1">
        <f t="array" ref="M446">_xlfn.IFS(L446&lt;=35,"YOUNG_ADULTS",L446&lt;=55,"MIDDLE_AGED",L446&gt;55,"OLD-AGED")</f>
        <v>YOUNG_ADULTS</v>
      </c>
      <c r="O446" t="str" cm="1">
        <f t="array" ref="O446">_xlfn.IFS(D446&lt;=50000,"low income",D446&lt;=100000,"Mid income",D446&gt;100000,"High income")</f>
        <v>low income</v>
      </c>
      <c r="P446" t="str" cm="1">
        <f t="array" ref="P446">_xlfn.IFS(E446&lt;=2,"&lt;=2",E446&gt;2,"&gt;2")</f>
        <v>&lt;=2</v>
      </c>
    </row>
    <row r="447" spans="1:16">
      <c r="A447" s="2">
        <v>25307</v>
      </c>
      <c r="B447" s="2" t="s">
        <v>16</v>
      </c>
      <c r="C447" s="2" t="s">
        <v>17</v>
      </c>
      <c r="D447" s="6">
        <v>40000</v>
      </c>
      <c r="E447" s="2">
        <v>1</v>
      </c>
      <c r="F447" s="2" t="s">
        <v>18</v>
      </c>
      <c r="G447" s="2" t="s">
        <v>19</v>
      </c>
      <c r="H447" s="2" t="s">
        <v>20</v>
      </c>
      <c r="I447" s="2">
        <v>1</v>
      </c>
      <c r="J447" s="4" t="s">
        <v>32</v>
      </c>
      <c r="K447" s="2" t="s">
        <v>22</v>
      </c>
      <c r="L447" s="2">
        <v>32</v>
      </c>
      <c r="M447" t="str" cm="1">
        <f t="array" ref="M447">_xlfn.IFS(L447&lt;=35,"YOUNG_ADULTS",L447&lt;=55,"MIDDLE_AGED",L447&gt;55,"OLD-AGED")</f>
        <v>YOUNG_ADULTS</v>
      </c>
      <c r="N447" s="2" t="s">
        <v>20</v>
      </c>
      <c r="O447" t="str" cm="1">
        <f t="array" ref="O447">_xlfn.IFS(D447&lt;=50000,"low income",D447&lt;=100000,"Mid income",D447&gt;100000,"High income")</f>
        <v>low income</v>
      </c>
      <c r="P447" t="str" cm="1">
        <f t="array" ref="P447">_xlfn.IFS(E447&lt;=2,"&lt;=2",E447&gt;2,"&gt;2")</f>
        <v>&lt;=2</v>
      </c>
    </row>
    <row r="448" spans="1:16">
      <c r="A448" s="2">
        <v>14278</v>
      </c>
      <c r="B448" s="2" t="s">
        <v>16</v>
      </c>
      <c r="C448" s="2" t="s">
        <v>17</v>
      </c>
      <c r="D448" s="6">
        <v>130000</v>
      </c>
      <c r="E448" s="2">
        <v>0</v>
      </c>
      <c r="F448" s="2" t="s">
        <v>37</v>
      </c>
      <c r="G448" s="2" t="s">
        <v>34</v>
      </c>
      <c r="H448" s="2" t="s">
        <v>20</v>
      </c>
      <c r="I448" s="2">
        <v>1</v>
      </c>
      <c r="J448" s="4" t="s">
        <v>36</v>
      </c>
      <c r="K448" s="2" t="s">
        <v>30</v>
      </c>
      <c r="L448" s="2">
        <v>48</v>
      </c>
      <c r="M448" t="str" cm="1">
        <f t="array" ref="M448">_xlfn.IFS(L448&lt;=35,"YOUNG_ADULTS",L448&lt;=55,"MIDDLE_AGED",L448&gt;55,"OLD-AGED")</f>
        <v>MIDDLE_AGED</v>
      </c>
      <c r="O448" t="str" cm="1">
        <f t="array" ref="O448">_xlfn.IFS(D448&lt;=50000,"low income",D448&lt;=100000,"Mid income",D448&gt;100000,"High income")</f>
        <v>High income</v>
      </c>
      <c r="P448" t="str" cm="1">
        <f t="array" ref="P448">_xlfn.IFS(E448&lt;=2,"&lt;=2",E448&gt;2,"&gt;2")</f>
        <v>&lt;=2</v>
      </c>
    </row>
    <row r="449" spans="1:16">
      <c r="A449" s="2">
        <v>20711</v>
      </c>
      <c r="B449" s="2" t="s">
        <v>16</v>
      </c>
      <c r="C449" s="2" t="s">
        <v>17</v>
      </c>
      <c r="D449" s="6">
        <v>40000</v>
      </c>
      <c r="E449" s="2">
        <v>1</v>
      </c>
      <c r="F449" s="2" t="s">
        <v>18</v>
      </c>
      <c r="G449" s="2" t="s">
        <v>19</v>
      </c>
      <c r="H449" s="2" t="s">
        <v>20</v>
      </c>
      <c r="I449" s="2">
        <v>0</v>
      </c>
      <c r="J449" s="4" t="s">
        <v>32</v>
      </c>
      <c r="K449" s="2" t="s">
        <v>22</v>
      </c>
      <c r="L449" s="2">
        <v>32</v>
      </c>
      <c r="M449" t="str" cm="1">
        <f t="array" ref="M449">_xlfn.IFS(L449&lt;=35,"YOUNG_ADULTS",L449&lt;=55,"MIDDLE_AGED",L449&gt;55,"OLD-AGED")</f>
        <v>YOUNG_ADULTS</v>
      </c>
      <c r="N449" s="2" t="s">
        <v>20</v>
      </c>
      <c r="O449" t="str" cm="1">
        <f t="array" ref="O449">_xlfn.IFS(D449&lt;=50000,"low income",D449&lt;=100000,"Mid income",D449&gt;100000,"High income")</f>
        <v>low income</v>
      </c>
      <c r="P449" t="str" cm="1">
        <f t="array" ref="P449">_xlfn.IFS(E449&lt;=2,"&lt;=2",E449&gt;2,"&gt;2")</f>
        <v>&lt;=2</v>
      </c>
    </row>
    <row r="450" spans="1:16">
      <c r="A450" s="2">
        <v>11383</v>
      </c>
      <c r="B450" s="2" t="s">
        <v>16</v>
      </c>
      <c r="C450" s="2" t="s">
        <v>17</v>
      </c>
      <c r="D450" s="6">
        <v>30000</v>
      </c>
      <c r="E450" s="2">
        <v>3</v>
      </c>
      <c r="F450" s="2" t="s">
        <v>37</v>
      </c>
      <c r="G450" s="2" t="s">
        <v>24</v>
      </c>
      <c r="H450" s="2" t="s">
        <v>20</v>
      </c>
      <c r="I450" s="2">
        <v>0</v>
      </c>
      <c r="J450" s="4" t="s">
        <v>21</v>
      </c>
      <c r="K450" s="2" t="s">
        <v>22</v>
      </c>
      <c r="L450" s="2">
        <v>46</v>
      </c>
      <c r="M450" t="str" cm="1">
        <f t="array" ref="M450">_xlfn.IFS(L450&lt;=35,"YOUNG_ADULTS",L450&lt;=55,"MIDDLE_AGED",L450&gt;55,"OLD-AGED")</f>
        <v>MIDDLE_AGED</v>
      </c>
      <c r="O450" t="str" cm="1">
        <f t="array" ref="O450">_xlfn.IFS(D450&lt;=50000,"low income",D450&lt;=100000,"Mid income",D450&gt;100000,"High income")</f>
        <v>low income</v>
      </c>
      <c r="P450" t="str" cm="1">
        <f t="array" ref="P450">_xlfn.IFS(E450&lt;=2,"&lt;=2",E450&gt;2,"&gt;2")</f>
        <v>&gt;2</v>
      </c>
    </row>
    <row r="451" spans="1:16">
      <c r="A451" s="2">
        <v>12497</v>
      </c>
      <c r="B451" s="2" t="s">
        <v>16</v>
      </c>
      <c r="C451" s="2" t="s">
        <v>17</v>
      </c>
      <c r="D451" s="6">
        <v>40000</v>
      </c>
      <c r="E451" s="2">
        <v>1</v>
      </c>
      <c r="F451" s="2" t="s">
        <v>18</v>
      </c>
      <c r="G451" s="2" t="s">
        <v>19</v>
      </c>
      <c r="H451" s="2" t="s">
        <v>20</v>
      </c>
      <c r="I451" s="2">
        <v>0</v>
      </c>
      <c r="J451" s="4" t="s">
        <v>21</v>
      </c>
      <c r="K451" s="2" t="s">
        <v>22</v>
      </c>
      <c r="L451" s="2">
        <v>42</v>
      </c>
      <c r="M451" t="str" cm="1">
        <f t="array" ref="M451">_xlfn.IFS(L451&lt;=35,"YOUNG_ADULTS",L451&lt;=55,"MIDDLE_AGED",L451&gt;55,"OLD-AGED")</f>
        <v>MIDDLE_AGED</v>
      </c>
      <c r="O451" t="str" cm="1">
        <f t="array" ref="O451">_xlfn.IFS(D451&lt;=50000,"low income",D451&lt;=100000,"Mid income",D451&gt;100000,"High income")</f>
        <v>low income</v>
      </c>
      <c r="P451" t="str" cm="1">
        <f t="array" ref="P451">_xlfn.IFS(E451&lt;=2,"&lt;=2",E451&gt;2,"&gt;2")</f>
        <v>&lt;=2</v>
      </c>
    </row>
    <row r="452" spans="1:16">
      <c r="A452" s="2">
        <v>16559</v>
      </c>
      <c r="B452" s="2" t="s">
        <v>28</v>
      </c>
      <c r="C452" s="2" t="s">
        <v>17</v>
      </c>
      <c r="D452" s="6">
        <v>10000</v>
      </c>
      <c r="E452" s="2">
        <v>2</v>
      </c>
      <c r="F452" s="2" t="s">
        <v>33</v>
      </c>
      <c r="G452" s="2" t="s">
        <v>31</v>
      </c>
      <c r="H452" s="2" t="s">
        <v>20</v>
      </c>
      <c r="I452" s="2">
        <v>0</v>
      </c>
      <c r="J452" s="4" t="s">
        <v>21</v>
      </c>
      <c r="K452" s="2" t="s">
        <v>22</v>
      </c>
      <c r="L452" s="2">
        <v>36</v>
      </c>
      <c r="M452" t="str" cm="1">
        <f t="array" ref="M452">_xlfn.IFS(L452&lt;=35,"YOUNG_ADULTS",L452&lt;=55,"MIDDLE_AGED",L452&gt;55,"OLD-AGED")</f>
        <v>MIDDLE_AGED</v>
      </c>
      <c r="N452" s="2" t="s">
        <v>20</v>
      </c>
      <c r="O452" t="str" cm="1">
        <f t="array" ref="O452">_xlfn.IFS(D452&lt;=50000,"low income",D452&lt;=100000,"Mid income",D452&gt;100000,"High income")</f>
        <v>low income</v>
      </c>
      <c r="P452" t="str" cm="1">
        <f t="array" ref="P452">_xlfn.IFS(E452&lt;=2,"&lt;=2",E452&gt;2,"&gt;2")</f>
        <v>&lt;=2</v>
      </c>
    </row>
    <row r="453" spans="1:16">
      <c r="A453" s="2">
        <v>11585</v>
      </c>
      <c r="B453" s="2" t="s">
        <v>16</v>
      </c>
      <c r="C453" s="2" t="s">
        <v>17</v>
      </c>
      <c r="D453" s="6">
        <v>40000</v>
      </c>
      <c r="E453" s="2">
        <v>1</v>
      </c>
      <c r="F453" s="2" t="s">
        <v>18</v>
      </c>
      <c r="G453" s="2" t="s">
        <v>19</v>
      </c>
      <c r="H453" s="2" t="s">
        <v>20</v>
      </c>
      <c r="I453" s="2">
        <v>0</v>
      </c>
      <c r="J453" s="4" t="s">
        <v>21</v>
      </c>
      <c r="K453" s="2" t="s">
        <v>22</v>
      </c>
      <c r="L453" s="2">
        <v>41</v>
      </c>
      <c r="M453" t="str" cm="1">
        <f t="array" ref="M453">_xlfn.IFS(L453&lt;=35,"YOUNG_ADULTS",L453&lt;=55,"MIDDLE_AGED",L453&gt;55,"OLD-AGED")</f>
        <v>MIDDLE_AGED</v>
      </c>
      <c r="O453" t="str" cm="1">
        <f t="array" ref="O453">_xlfn.IFS(D453&lt;=50000,"low income",D453&lt;=100000,"Mid income",D453&gt;100000,"High income")</f>
        <v>low income</v>
      </c>
      <c r="P453" t="str" cm="1">
        <f t="array" ref="P453">_xlfn.IFS(E453&lt;=2,"&lt;=2",E453&gt;2,"&gt;2")</f>
        <v>&lt;=2</v>
      </c>
    </row>
    <row r="454" spans="1:16">
      <c r="A454" s="2">
        <v>20277</v>
      </c>
      <c r="B454" s="2" t="s">
        <v>16</v>
      </c>
      <c r="C454" s="2" t="s">
        <v>17</v>
      </c>
      <c r="D454" s="6">
        <v>30000</v>
      </c>
      <c r="E454" s="2">
        <v>2</v>
      </c>
      <c r="F454" s="2" t="s">
        <v>23</v>
      </c>
      <c r="G454" s="2" t="s">
        <v>24</v>
      </c>
      <c r="H454" s="2" t="s">
        <v>26</v>
      </c>
      <c r="I454" s="2">
        <v>2</v>
      </c>
      <c r="J454" s="4" t="s">
        <v>21</v>
      </c>
      <c r="K454" s="2" t="s">
        <v>30</v>
      </c>
      <c r="L454" s="2">
        <v>69</v>
      </c>
      <c r="M454" t="str" cm="1">
        <f t="array" ref="M454">_xlfn.IFS(L454&lt;=35,"YOUNG_ADULTS",L454&lt;=55,"MIDDLE_AGED",L454&gt;55,"OLD-AGED")</f>
        <v>OLD-AGED</v>
      </c>
      <c r="O454" t="str" cm="1">
        <f t="array" ref="O454">_xlfn.IFS(D454&lt;=50000,"low income",D454&lt;=100000,"Mid income",D454&gt;100000,"High income")</f>
        <v>low income</v>
      </c>
      <c r="P454" t="str" cm="1">
        <f t="array" ref="P454">_xlfn.IFS(E454&lt;=2,"&lt;=2",E454&gt;2,"&gt;2")</f>
        <v>&lt;=2</v>
      </c>
    </row>
    <row r="455" spans="1:16">
      <c r="A455" s="2">
        <v>26765</v>
      </c>
      <c r="B455" s="2" t="s">
        <v>28</v>
      </c>
      <c r="C455" s="2" t="s">
        <v>17</v>
      </c>
      <c r="D455" s="6">
        <v>70000</v>
      </c>
      <c r="E455" s="2">
        <v>5</v>
      </c>
      <c r="F455" s="2" t="s">
        <v>23</v>
      </c>
      <c r="G455" s="2" t="s">
        <v>19</v>
      </c>
      <c r="H455" s="2" t="s">
        <v>20</v>
      </c>
      <c r="I455" s="2">
        <v>2</v>
      </c>
      <c r="J455" s="4" t="s">
        <v>29</v>
      </c>
      <c r="K455" s="2" t="s">
        <v>30</v>
      </c>
      <c r="L455" s="2">
        <v>45</v>
      </c>
      <c r="M455" t="str" cm="1">
        <f t="array" ref="M455">_xlfn.IFS(L455&lt;=35,"YOUNG_ADULTS",L455&lt;=55,"MIDDLE_AGED",L455&gt;55,"OLD-AGED")</f>
        <v>MIDDLE_AGED</v>
      </c>
      <c r="O455" t="str" cm="1">
        <f t="array" ref="O455">_xlfn.IFS(D455&lt;=50000,"low income",D455&lt;=100000,"Mid income",D455&gt;100000,"High income")</f>
        <v>Mid income</v>
      </c>
      <c r="P455" t="str" cm="1">
        <f t="array" ref="P455">_xlfn.IFS(E455&lt;=2,"&lt;=2",E455&gt;2,"&gt;2")</f>
        <v>&gt;2</v>
      </c>
    </row>
    <row r="456" spans="1:16">
      <c r="A456" s="2">
        <v>12389</v>
      </c>
      <c r="B456" s="2" t="s">
        <v>28</v>
      </c>
      <c r="C456" s="2" t="s">
        <v>16</v>
      </c>
      <c r="D456" s="6">
        <v>30000</v>
      </c>
      <c r="E456" s="2">
        <v>0</v>
      </c>
      <c r="F456" s="2" t="s">
        <v>33</v>
      </c>
      <c r="G456" s="2" t="s">
        <v>31</v>
      </c>
      <c r="H456" s="2" t="s">
        <v>26</v>
      </c>
      <c r="I456" s="2">
        <v>1</v>
      </c>
      <c r="J456" s="4" t="s">
        <v>27</v>
      </c>
      <c r="K456" s="2" t="s">
        <v>22</v>
      </c>
      <c r="L456" s="2">
        <v>34</v>
      </c>
      <c r="M456" t="str" cm="1">
        <f t="array" ref="M456">_xlfn.IFS(L456&lt;=35,"YOUNG_ADULTS",L456&lt;=55,"MIDDLE_AGED",L456&gt;55,"OLD-AGED")</f>
        <v>YOUNG_ADULTS</v>
      </c>
      <c r="O456" t="str" cm="1">
        <f t="array" ref="O456">_xlfn.IFS(D456&lt;=50000,"low income",D456&lt;=100000,"Mid income",D456&gt;100000,"High income")</f>
        <v>low income</v>
      </c>
      <c r="P456" t="str" cm="1">
        <f t="array" ref="P456">_xlfn.IFS(E456&lt;=2,"&lt;=2",E456&gt;2,"&gt;2")</f>
        <v>&lt;=2</v>
      </c>
    </row>
    <row r="457" spans="1:16">
      <c r="A457" s="2">
        <v>13585</v>
      </c>
      <c r="B457" s="2" t="s">
        <v>16</v>
      </c>
      <c r="C457" s="2" t="s">
        <v>17</v>
      </c>
      <c r="D457" s="6">
        <v>80000</v>
      </c>
      <c r="E457" s="2">
        <v>4</v>
      </c>
      <c r="F457" s="2" t="s">
        <v>23</v>
      </c>
      <c r="G457" s="2" t="s">
        <v>25</v>
      </c>
      <c r="H457" s="2" t="s">
        <v>26</v>
      </c>
      <c r="I457" s="2">
        <v>1</v>
      </c>
      <c r="J457" s="4" t="s">
        <v>27</v>
      </c>
      <c r="K457" s="2" t="s">
        <v>22</v>
      </c>
      <c r="L457" s="2">
        <v>53</v>
      </c>
      <c r="M457" t="str" cm="1">
        <f t="array" ref="M457">_xlfn.IFS(L457&lt;=35,"YOUNG_ADULTS",L457&lt;=55,"MIDDLE_AGED",L457&gt;55,"OLD-AGED")</f>
        <v>MIDDLE_AGED</v>
      </c>
      <c r="N457" s="2" t="s">
        <v>20</v>
      </c>
      <c r="O457" t="str" cm="1">
        <f t="array" ref="O457">_xlfn.IFS(D457&lt;=50000,"low income",D457&lt;=100000,"Mid income",D457&gt;100000,"High income")</f>
        <v>Mid income</v>
      </c>
      <c r="P457" t="str" cm="1">
        <f t="array" ref="P457">_xlfn.IFS(E457&lt;=2,"&lt;=2",E457&gt;2,"&gt;2")</f>
        <v>&gt;2</v>
      </c>
    </row>
    <row r="458" spans="1:16">
      <c r="A458" s="2">
        <v>26385</v>
      </c>
      <c r="B458" s="2" t="s">
        <v>28</v>
      </c>
      <c r="C458" s="2" t="s">
        <v>16</v>
      </c>
      <c r="D458" s="6">
        <v>120000</v>
      </c>
      <c r="E458" s="2">
        <v>3</v>
      </c>
      <c r="F458" s="2" t="s">
        <v>33</v>
      </c>
      <c r="G458" s="2" t="s">
        <v>25</v>
      </c>
      <c r="H458" s="2" t="s">
        <v>26</v>
      </c>
      <c r="I458" s="2">
        <v>4</v>
      </c>
      <c r="J458" s="4" t="s">
        <v>29</v>
      </c>
      <c r="K458" s="2" t="s">
        <v>22</v>
      </c>
      <c r="L458" s="2">
        <v>50</v>
      </c>
      <c r="M458" t="str" cm="1">
        <f t="array" ref="M458">_xlfn.IFS(L458&lt;=35,"YOUNG_ADULTS",L458&lt;=55,"MIDDLE_AGED",L458&gt;55,"OLD-AGED")</f>
        <v>MIDDLE_AGED</v>
      </c>
      <c r="O458" t="str" cm="1">
        <f t="array" ref="O458">_xlfn.IFS(D458&lt;=50000,"low income",D458&lt;=100000,"Mid income",D458&gt;100000,"High income")</f>
        <v>High income</v>
      </c>
      <c r="P458" t="str" cm="1">
        <f t="array" ref="P458">_xlfn.IFS(E458&lt;=2,"&lt;=2",E458&gt;2,"&gt;2")</f>
        <v>&gt;2</v>
      </c>
    </row>
    <row r="459" spans="1:16">
      <c r="A459" s="2">
        <v>12236</v>
      </c>
      <c r="B459" s="2" t="s">
        <v>16</v>
      </c>
      <c r="C459" s="2" t="s">
        <v>17</v>
      </c>
      <c r="D459" s="6">
        <v>20000</v>
      </c>
      <c r="E459" s="2">
        <v>1</v>
      </c>
      <c r="F459" s="2" t="s">
        <v>23</v>
      </c>
      <c r="G459" s="2" t="s">
        <v>31</v>
      </c>
      <c r="H459" s="2" t="s">
        <v>20</v>
      </c>
      <c r="I459" s="2">
        <v>0</v>
      </c>
      <c r="J459" s="4" t="s">
        <v>21</v>
      </c>
      <c r="K459" s="2" t="s">
        <v>22</v>
      </c>
      <c r="L459" s="2">
        <v>65</v>
      </c>
      <c r="M459" t="str" cm="1">
        <f t="array" ref="M459">_xlfn.IFS(L459&lt;=35,"YOUNG_ADULTS",L459&lt;=55,"MIDDLE_AGED",L459&gt;55,"OLD-AGED")</f>
        <v>OLD-AGED</v>
      </c>
      <c r="O459" t="str" cm="1">
        <f t="array" ref="O459">_xlfn.IFS(D459&lt;=50000,"low income",D459&lt;=100000,"Mid income",D459&gt;100000,"High income")</f>
        <v>low income</v>
      </c>
      <c r="P459" t="str" cm="1">
        <f t="array" ref="P459">_xlfn.IFS(E459&lt;=2,"&lt;=2",E459&gt;2,"&gt;2")</f>
        <v>&lt;=2</v>
      </c>
    </row>
    <row r="460" spans="1:16">
      <c r="A460" s="2">
        <v>21560</v>
      </c>
      <c r="B460" s="2" t="s">
        <v>16</v>
      </c>
      <c r="C460" s="2" t="s">
        <v>16</v>
      </c>
      <c r="D460" s="6">
        <v>120000</v>
      </c>
      <c r="E460" s="2">
        <v>0</v>
      </c>
      <c r="F460" s="2" t="s">
        <v>35</v>
      </c>
      <c r="G460" s="2" t="s">
        <v>25</v>
      </c>
      <c r="H460" s="2" t="s">
        <v>20</v>
      </c>
      <c r="I460" s="2">
        <v>4</v>
      </c>
      <c r="J460" s="4" t="s">
        <v>36</v>
      </c>
      <c r="K460" s="2" t="s">
        <v>30</v>
      </c>
      <c r="L460" s="2">
        <v>32</v>
      </c>
      <c r="M460" t="str" cm="1">
        <f t="array" ref="M460">_xlfn.IFS(L460&lt;=35,"YOUNG_ADULTS",L460&lt;=55,"MIDDLE_AGED",L460&gt;55,"OLD-AGED")</f>
        <v>YOUNG_ADULTS</v>
      </c>
      <c r="N460" s="2" t="s">
        <v>20</v>
      </c>
      <c r="O460" t="str" cm="1">
        <f t="array" ref="O460">_xlfn.IFS(D460&lt;=50000,"low income",D460&lt;=100000,"Mid income",D460&gt;100000,"High income")</f>
        <v>High income</v>
      </c>
      <c r="P460" t="str" cm="1">
        <f t="array" ref="P460">_xlfn.IFS(E460&lt;=2,"&lt;=2",E460&gt;2,"&gt;2")</f>
        <v>&lt;=2</v>
      </c>
    </row>
    <row r="461" spans="1:16">
      <c r="A461" s="2">
        <v>21554</v>
      </c>
      <c r="B461" s="2" t="s">
        <v>28</v>
      </c>
      <c r="C461" s="2" t="s">
        <v>17</v>
      </c>
      <c r="D461" s="6">
        <v>80000</v>
      </c>
      <c r="E461" s="2">
        <v>0</v>
      </c>
      <c r="F461" s="2" t="s">
        <v>18</v>
      </c>
      <c r="G461" s="2" t="s">
        <v>25</v>
      </c>
      <c r="H461" s="2" t="s">
        <v>26</v>
      </c>
      <c r="I461" s="2">
        <v>3</v>
      </c>
      <c r="J461" s="4" t="s">
        <v>36</v>
      </c>
      <c r="K461" s="2" t="s">
        <v>30</v>
      </c>
      <c r="L461" s="2">
        <v>33</v>
      </c>
      <c r="M461" t="str" cm="1">
        <f t="array" ref="M461">_xlfn.IFS(L461&lt;=35,"YOUNG_ADULTS",L461&lt;=55,"MIDDLE_AGED",L461&gt;55,"OLD-AGED")</f>
        <v>YOUNG_ADULTS</v>
      </c>
      <c r="O461" t="str" cm="1">
        <f t="array" ref="O461">_xlfn.IFS(D461&lt;=50000,"low income",D461&lt;=100000,"Mid income",D461&gt;100000,"High income")</f>
        <v>Mid income</v>
      </c>
      <c r="P461" t="str" cm="1">
        <f t="array" ref="P461">_xlfn.IFS(E461&lt;=2,"&lt;=2",E461&gt;2,"&gt;2")</f>
        <v>&lt;=2</v>
      </c>
    </row>
    <row r="462" spans="1:16">
      <c r="A462" s="2">
        <v>13662</v>
      </c>
      <c r="B462" s="2" t="s">
        <v>28</v>
      </c>
      <c r="C462" s="2" t="s">
        <v>16</v>
      </c>
      <c r="D462" s="6">
        <v>20000</v>
      </c>
      <c r="E462" s="2">
        <v>0</v>
      </c>
      <c r="F462" s="2" t="s">
        <v>35</v>
      </c>
      <c r="G462" s="2" t="s">
        <v>31</v>
      </c>
      <c r="H462" s="2" t="s">
        <v>20</v>
      </c>
      <c r="I462" s="2">
        <v>2</v>
      </c>
      <c r="J462" s="4" t="s">
        <v>32</v>
      </c>
      <c r="K462" s="2" t="s">
        <v>22</v>
      </c>
      <c r="L462" s="2">
        <v>31</v>
      </c>
      <c r="M462" t="str" cm="1">
        <f t="array" ref="M462">_xlfn.IFS(L462&lt;=35,"YOUNG_ADULTS",L462&lt;=55,"MIDDLE_AGED",L462&gt;55,"OLD-AGED")</f>
        <v>YOUNG_ADULTS</v>
      </c>
      <c r="N462" s="2" t="s">
        <v>20</v>
      </c>
      <c r="O462" t="str" cm="1">
        <f t="array" ref="O462">_xlfn.IFS(D462&lt;=50000,"low income",D462&lt;=100000,"Mid income",D462&gt;100000,"High income")</f>
        <v>low income</v>
      </c>
      <c r="P462" t="str" cm="1">
        <f t="array" ref="P462">_xlfn.IFS(E462&lt;=2,"&lt;=2",E462&gt;2,"&gt;2")</f>
        <v>&lt;=2</v>
      </c>
    </row>
    <row r="463" spans="1:16">
      <c r="A463" s="2">
        <v>13089</v>
      </c>
      <c r="B463" s="2" t="s">
        <v>16</v>
      </c>
      <c r="C463" s="2" t="s">
        <v>17</v>
      </c>
      <c r="D463" s="6">
        <v>120000</v>
      </c>
      <c r="E463" s="2">
        <v>1</v>
      </c>
      <c r="F463" s="2" t="s">
        <v>18</v>
      </c>
      <c r="G463" s="2" t="s">
        <v>34</v>
      </c>
      <c r="H463" s="2" t="s">
        <v>20</v>
      </c>
      <c r="I463" s="2">
        <v>2</v>
      </c>
      <c r="J463" s="4" t="s">
        <v>21</v>
      </c>
      <c r="K463" s="2" t="s">
        <v>30</v>
      </c>
      <c r="L463" s="2">
        <v>46</v>
      </c>
      <c r="M463" t="str" cm="1">
        <f t="array" ref="M463">_xlfn.IFS(L463&lt;=35,"YOUNG_ADULTS",L463&lt;=55,"MIDDLE_AGED",L463&gt;55,"OLD-AGED")</f>
        <v>MIDDLE_AGED</v>
      </c>
      <c r="N463" s="2" t="s">
        <v>20</v>
      </c>
      <c r="O463" t="str" cm="1">
        <f t="array" ref="O463">_xlfn.IFS(D463&lt;=50000,"low income",D463&lt;=100000,"Mid income",D463&gt;100000,"High income")</f>
        <v>High income</v>
      </c>
      <c r="P463" t="str" cm="1">
        <f t="array" ref="P463">_xlfn.IFS(E463&lt;=2,"&lt;=2",E463&gt;2,"&gt;2")</f>
        <v>&lt;=2</v>
      </c>
    </row>
    <row r="464" spans="1:16">
      <c r="A464" s="2">
        <v>14791</v>
      </c>
      <c r="B464" s="2" t="s">
        <v>16</v>
      </c>
      <c r="C464" s="2" t="s">
        <v>17</v>
      </c>
      <c r="D464" s="6">
        <v>40000</v>
      </c>
      <c r="E464" s="2">
        <v>0</v>
      </c>
      <c r="F464" s="2" t="s">
        <v>18</v>
      </c>
      <c r="G464" s="2" t="s">
        <v>24</v>
      </c>
      <c r="H464" s="2" t="s">
        <v>20</v>
      </c>
      <c r="I464" s="2">
        <v>0</v>
      </c>
      <c r="J464" s="4" t="s">
        <v>21</v>
      </c>
      <c r="K464" s="2" t="s">
        <v>22</v>
      </c>
      <c r="L464" s="2">
        <v>39</v>
      </c>
      <c r="M464" t="str" cm="1">
        <f t="array" ref="M464">_xlfn.IFS(L464&lt;=35,"YOUNG_ADULTS",L464&lt;=55,"MIDDLE_AGED",L464&gt;55,"OLD-AGED")</f>
        <v>MIDDLE_AGED</v>
      </c>
      <c r="N464" s="2" t="s">
        <v>20</v>
      </c>
      <c r="O464" t="str" cm="1">
        <f t="array" ref="O464">_xlfn.IFS(D464&lt;=50000,"low income",D464&lt;=100000,"Mid income",D464&gt;100000,"High income")</f>
        <v>low income</v>
      </c>
      <c r="P464" t="str" cm="1">
        <f t="array" ref="P464">_xlfn.IFS(E464&lt;=2,"&lt;=2",E464&gt;2,"&gt;2")</f>
        <v>&lt;=2</v>
      </c>
    </row>
    <row r="465" spans="1:16">
      <c r="A465" s="2">
        <v>19331</v>
      </c>
      <c r="B465" s="2" t="s">
        <v>28</v>
      </c>
      <c r="C465" s="2" t="s">
        <v>16</v>
      </c>
      <c r="D465" s="6">
        <v>20000</v>
      </c>
      <c r="E465" s="2">
        <v>2</v>
      </c>
      <c r="F465" s="2" t="s">
        <v>33</v>
      </c>
      <c r="G465" s="2" t="s">
        <v>31</v>
      </c>
      <c r="H465" s="2" t="s">
        <v>20</v>
      </c>
      <c r="I465" s="2">
        <v>1</v>
      </c>
      <c r="J465" s="4" t="s">
        <v>21</v>
      </c>
      <c r="K465" s="2" t="s">
        <v>22</v>
      </c>
      <c r="L465" s="2">
        <v>40</v>
      </c>
      <c r="M465" t="str" cm="1">
        <f t="array" ref="M465">_xlfn.IFS(L465&lt;=35,"YOUNG_ADULTS",L465&lt;=55,"MIDDLE_AGED",L465&gt;55,"OLD-AGED")</f>
        <v>MIDDLE_AGED</v>
      </c>
      <c r="O465" t="str" cm="1">
        <f t="array" ref="O465">_xlfn.IFS(D465&lt;=50000,"low income",D465&lt;=100000,"Mid income",D465&gt;100000,"High income")</f>
        <v>low income</v>
      </c>
      <c r="P465" t="str" cm="1">
        <f t="array" ref="P465">_xlfn.IFS(E465&lt;=2,"&lt;=2",E465&gt;2,"&gt;2")</f>
        <v>&lt;=2</v>
      </c>
    </row>
    <row r="466" spans="1:16">
      <c r="A466" s="2">
        <v>17754</v>
      </c>
      <c r="B466" s="2" t="s">
        <v>28</v>
      </c>
      <c r="C466" s="2" t="s">
        <v>17</v>
      </c>
      <c r="D466" s="6">
        <v>30000</v>
      </c>
      <c r="E466" s="2">
        <v>3</v>
      </c>
      <c r="F466" s="2" t="s">
        <v>18</v>
      </c>
      <c r="G466" s="2" t="s">
        <v>24</v>
      </c>
      <c r="H466" s="2" t="s">
        <v>20</v>
      </c>
      <c r="I466" s="2">
        <v>0</v>
      </c>
      <c r="J466" s="4" t="s">
        <v>21</v>
      </c>
      <c r="K466" s="2" t="s">
        <v>22</v>
      </c>
      <c r="L466" s="2">
        <v>46</v>
      </c>
      <c r="M466" t="str" cm="1">
        <f t="array" ref="M466">_xlfn.IFS(L466&lt;=35,"YOUNG_ADULTS",L466&lt;=55,"MIDDLE_AGED",L466&gt;55,"OLD-AGED")</f>
        <v>MIDDLE_AGED</v>
      </c>
      <c r="N466" s="2" t="s">
        <v>20</v>
      </c>
      <c r="O466" t="str" cm="1">
        <f t="array" ref="O466">_xlfn.IFS(D466&lt;=50000,"low income",D466&lt;=100000,"Mid income",D466&gt;100000,"High income")</f>
        <v>low income</v>
      </c>
      <c r="P466" t="str" cm="1">
        <f t="array" ref="P466">_xlfn.IFS(E466&lt;=2,"&lt;=2",E466&gt;2,"&gt;2")</f>
        <v>&gt;2</v>
      </c>
    </row>
    <row r="467" spans="1:16">
      <c r="A467" s="2">
        <v>11149</v>
      </c>
      <c r="B467" s="2" t="s">
        <v>16</v>
      </c>
      <c r="C467" s="2" t="s">
        <v>16</v>
      </c>
      <c r="D467" s="6">
        <v>40000</v>
      </c>
      <c r="E467" s="2">
        <v>2</v>
      </c>
      <c r="F467" s="2" t="s">
        <v>18</v>
      </c>
      <c r="G467" s="2" t="s">
        <v>34</v>
      </c>
      <c r="H467" s="2" t="s">
        <v>20</v>
      </c>
      <c r="I467" s="2">
        <v>2</v>
      </c>
      <c r="J467" s="4" t="s">
        <v>21</v>
      </c>
      <c r="K467" s="2" t="s">
        <v>30</v>
      </c>
      <c r="L467" s="2">
        <v>65</v>
      </c>
      <c r="M467" t="str" cm="1">
        <f t="array" ref="M467">_xlfn.IFS(L467&lt;=35,"YOUNG_ADULTS",L467&lt;=55,"MIDDLE_AGED",L467&gt;55,"OLD-AGED")</f>
        <v>OLD-AGED</v>
      </c>
      <c r="O467" t="str" cm="1">
        <f t="array" ref="O467">_xlfn.IFS(D467&lt;=50000,"low income",D467&lt;=100000,"Mid income",D467&gt;100000,"High income")</f>
        <v>low income</v>
      </c>
      <c r="P467" t="str" cm="1">
        <f t="array" ref="P467">_xlfn.IFS(E467&lt;=2,"&lt;=2",E467&gt;2,"&gt;2")</f>
        <v>&lt;=2</v>
      </c>
    </row>
    <row r="468" spans="1:16">
      <c r="A468" s="2">
        <v>16549</v>
      </c>
      <c r="B468" s="2" t="s">
        <v>28</v>
      </c>
      <c r="C468" s="2" t="s">
        <v>17</v>
      </c>
      <c r="D468" s="6">
        <v>30000</v>
      </c>
      <c r="E468" s="2">
        <v>3</v>
      </c>
      <c r="F468" s="2" t="s">
        <v>18</v>
      </c>
      <c r="G468" s="2" t="s">
        <v>24</v>
      </c>
      <c r="H468" s="2" t="s">
        <v>20</v>
      </c>
      <c r="I468" s="2">
        <v>0</v>
      </c>
      <c r="J468" s="4" t="s">
        <v>21</v>
      </c>
      <c r="K468" s="2" t="s">
        <v>22</v>
      </c>
      <c r="L468" s="2">
        <v>47</v>
      </c>
      <c r="M468" t="str" cm="1">
        <f t="array" ref="M468">_xlfn.IFS(L468&lt;=35,"YOUNG_ADULTS",L468&lt;=55,"MIDDLE_AGED",L468&gt;55,"OLD-AGED")</f>
        <v>MIDDLE_AGED</v>
      </c>
      <c r="N468" s="2" t="s">
        <v>20</v>
      </c>
      <c r="O468" t="str" cm="1">
        <f t="array" ref="O468">_xlfn.IFS(D468&lt;=50000,"low income",D468&lt;=100000,"Mid income",D468&gt;100000,"High income")</f>
        <v>low income</v>
      </c>
      <c r="P468" t="str" cm="1">
        <f t="array" ref="P468">_xlfn.IFS(E468&lt;=2,"&lt;=2",E468&gt;2,"&gt;2")</f>
        <v>&gt;2</v>
      </c>
    </row>
    <row r="469" spans="1:16">
      <c r="A469" s="2">
        <v>24305</v>
      </c>
      <c r="B469" s="2" t="s">
        <v>28</v>
      </c>
      <c r="C469" s="2" t="s">
        <v>16</v>
      </c>
      <c r="D469" s="6">
        <v>100000</v>
      </c>
      <c r="E469" s="2">
        <v>1</v>
      </c>
      <c r="F469" s="2" t="s">
        <v>18</v>
      </c>
      <c r="G469" s="2" t="s">
        <v>34</v>
      </c>
      <c r="H469" s="2" t="s">
        <v>26</v>
      </c>
      <c r="I469" s="2">
        <v>3</v>
      </c>
      <c r="J469" s="4" t="s">
        <v>21</v>
      </c>
      <c r="K469" s="2" t="s">
        <v>30</v>
      </c>
      <c r="L469" s="2">
        <v>46</v>
      </c>
      <c r="M469" t="str" cm="1">
        <f t="array" ref="M469">_xlfn.IFS(L469&lt;=35,"YOUNG_ADULTS",L469&lt;=55,"MIDDLE_AGED",L469&gt;55,"OLD-AGED")</f>
        <v>MIDDLE_AGED</v>
      </c>
      <c r="N469" s="2" t="s">
        <v>20</v>
      </c>
      <c r="O469" t="str" cm="1">
        <f t="array" ref="O469">_xlfn.IFS(D469&lt;=50000,"low income",D469&lt;=100000,"Mid income",D469&gt;100000,"High income")</f>
        <v>Mid income</v>
      </c>
      <c r="P469" t="str" cm="1">
        <f t="array" ref="P469">_xlfn.IFS(E469&lt;=2,"&lt;=2",E469&gt;2,"&gt;2")</f>
        <v>&lt;=2</v>
      </c>
    </row>
    <row r="470" spans="1:16">
      <c r="A470" s="2">
        <v>18253</v>
      </c>
      <c r="B470" s="2" t="s">
        <v>16</v>
      </c>
      <c r="C470" s="2" t="s">
        <v>17</v>
      </c>
      <c r="D470" s="6">
        <v>80000</v>
      </c>
      <c r="E470" s="2">
        <v>5</v>
      </c>
      <c r="F470" s="2" t="s">
        <v>37</v>
      </c>
      <c r="G470" s="2" t="s">
        <v>34</v>
      </c>
      <c r="H470" s="2" t="s">
        <v>20</v>
      </c>
      <c r="I470" s="2">
        <v>3</v>
      </c>
      <c r="J470" s="4" t="s">
        <v>21</v>
      </c>
      <c r="K470" s="2" t="s">
        <v>30</v>
      </c>
      <c r="L470" s="2">
        <v>40</v>
      </c>
      <c r="M470" t="str" cm="1">
        <f t="array" ref="M470">_xlfn.IFS(L470&lt;=35,"YOUNG_ADULTS",L470&lt;=55,"MIDDLE_AGED",L470&gt;55,"OLD-AGED")</f>
        <v>MIDDLE_AGED</v>
      </c>
      <c r="O470" t="str" cm="1">
        <f t="array" ref="O470">_xlfn.IFS(D470&lt;=50000,"low income",D470&lt;=100000,"Mid income",D470&gt;100000,"High income")</f>
        <v>Mid income</v>
      </c>
      <c r="P470" t="str" cm="1">
        <f t="array" ref="P470">_xlfn.IFS(E470&lt;=2,"&lt;=2",E470&gt;2,"&gt;2")</f>
        <v>&gt;2</v>
      </c>
    </row>
    <row r="471" spans="1:16">
      <c r="A471" s="2">
        <v>20147</v>
      </c>
      <c r="B471" s="2" t="s">
        <v>16</v>
      </c>
      <c r="C471" s="2" t="s">
        <v>17</v>
      </c>
      <c r="D471" s="6">
        <v>30000</v>
      </c>
      <c r="E471" s="2">
        <v>1</v>
      </c>
      <c r="F471" s="2" t="s">
        <v>18</v>
      </c>
      <c r="G471" s="2" t="s">
        <v>24</v>
      </c>
      <c r="H471" s="2" t="s">
        <v>20</v>
      </c>
      <c r="I471" s="2">
        <v>0</v>
      </c>
      <c r="J471" s="4" t="s">
        <v>21</v>
      </c>
      <c r="K471" s="2" t="s">
        <v>22</v>
      </c>
      <c r="L471" s="2">
        <v>65</v>
      </c>
      <c r="M471" t="str" cm="1">
        <f t="array" ref="M471">_xlfn.IFS(L471&lt;=35,"YOUNG_ADULTS",L471&lt;=55,"MIDDLE_AGED",L471&gt;55,"OLD-AGED")</f>
        <v>OLD-AGED</v>
      </c>
      <c r="O471" t="str" cm="1">
        <f t="array" ref="O471">_xlfn.IFS(D471&lt;=50000,"low income",D471&lt;=100000,"Mid income",D471&gt;100000,"High income")</f>
        <v>low income</v>
      </c>
      <c r="P471" t="str" cm="1">
        <f t="array" ref="P471">_xlfn.IFS(E471&lt;=2,"&lt;=2",E471&gt;2,"&gt;2")</f>
        <v>&lt;=2</v>
      </c>
    </row>
    <row r="472" spans="1:16">
      <c r="A472" s="2">
        <v>15612</v>
      </c>
      <c r="B472" s="2" t="s">
        <v>28</v>
      </c>
      <c r="C472" s="2" t="s">
        <v>16</v>
      </c>
      <c r="D472" s="6">
        <v>30000</v>
      </c>
      <c r="E472" s="2">
        <v>0</v>
      </c>
      <c r="F472" s="2" t="s">
        <v>33</v>
      </c>
      <c r="G472" s="2" t="s">
        <v>31</v>
      </c>
      <c r="H472" s="2" t="s">
        <v>26</v>
      </c>
      <c r="I472" s="2">
        <v>1</v>
      </c>
      <c r="J472" s="4" t="s">
        <v>32</v>
      </c>
      <c r="K472" s="2" t="s">
        <v>22</v>
      </c>
      <c r="L472" s="2">
        <v>28</v>
      </c>
      <c r="M472" t="str" cm="1">
        <f t="array" ref="M472">_xlfn.IFS(L472&lt;=35,"YOUNG_ADULTS",L472&lt;=55,"MIDDLE_AGED",L472&gt;55,"OLD-AGED")</f>
        <v>YOUNG_ADULTS</v>
      </c>
      <c r="O472" t="str" cm="1">
        <f t="array" ref="O472">_xlfn.IFS(D472&lt;=50000,"low income",D472&lt;=100000,"Mid income",D472&gt;100000,"High income")</f>
        <v>low income</v>
      </c>
      <c r="P472" t="str" cm="1">
        <f t="array" ref="P472">_xlfn.IFS(E472&lt;=2,"&lt;=2",E472&gt;2,"&gt;2")</f>
        <v>&lt;=2</v>
      </c>
    </row>
    <row r="473" spans="1:16">
      <c r="A473" s="2">
        <v>28323</v>
      </c>
      <c r="B473" s="2" t="s">
        <v>28</v>
      </c>
      <c r="C473" s="2" t="s">
        <v>16</v>
      </c>
      <c r="D473" s="6">
        <v>70000</v>
      </c>
      <c r="E473" s="2">
        <v>0</v>
      </c>
      <c r="F473" s="2" t="s">
        <v>18</v>
      </c>
      <c r="G473" s="2" t="s">
        <v>25</v>
      </c>
      <c r="H473" s="2" t="s">
        <v>26</v>
      </c>
      <c r="I473" s="2">
        <v>2</v>
      </c>
      <c r="J473" s="4" t="s">
        <v>29</v>
      </c>
      <c r="K473" s="2" t="s">
        <v>30</v>
      </c>
      <c r="L473" s="2">
        <v>43</v>
      </c>
      <c r="M473" t="str" cm="1">
        <f t="array" ref="M473">_xlfn.IFS(L473&lt;=35,"YOUNG_ADULTS",L473&lt;=55,"MIDDLE_AGED",L473&gt;55,"OLD-AGED")</f>
        <v>MIDDLE_AGED</v>
      </c>
      <c r="N473" s="2" t="s">
        <v>20</v>
      </c>
      <c r="O473" t="str" cm="1">
        <f t="array" ref="O473">_xlfn.IFS(D473&lt;=50000,"low income",D473&lt;=100000,"Mid income",D473&gt;100000,"High income")</f>
        <v>Mid income</v>
      </c>
      <c r="P473" t="str" cm="1">
        <f t="array" ref="P473">_xlfn.IFS(E473&lt;=2,"&lt;=2",E473&gt;2,"&gt;2")</f>
        <v>&lt;=2</v>
      </c>
    </row>
    <row r="474" spans="1:16">
      <c r="A474" s="2">
        <v>22634</v>
      </c>
      <c r="B474" s="2" t="s">
        <v>28</v>
      </c>
      <c r="C474" s="2" t="s">
        <v>17</v>
      </c>
      <c r="D474" s="6">
        <v>40000</v>
      </c>
      <c r="E474" s="2">
        <v>0</v>
      </c>
      <c r="F474" s="2" t="s">
        <v>37</v>
      </c>
      <c r="G474" s="2" t="s">
        <v>24</v>
      </c>
      <c r="H474" s="2" t="s">
        <v>20</v>
      </c>
      <c r="I474" s="2">
        <v>0</v>
      </c>
      <c r="J474" s="4" t="s">
        <v>21</v>
      </c>
      <c r="K474" s="2" t="s">
        <v>22</v>
      </c>
      <c r="L474" s="2">
        <v>38</v>
      </c>
      <c r="M474" t="str" cm="1">
        <f t="array" ref="M474">_xlfn.IFS(L474&lt;=35,"YOUNG_ADULTS",L474&lt;=55,"MIDDLE_AGED",L474&gt;55,"OLD-AGED")</f>
        <v>MIDDLE_AGED</v>
      </c>
      <c r="N474" s="2" t="s">
        <v>20</v>
      </c>
      <c r="O474" t="str" cm="1">
        <f t="array" ref="O474">_xlfn.IFS(D474&lt;=50000,"low income",D474&lt;=100000,"Mid income",D474&gt;100000,"High income")</f>
        <v>low income</v>
      </c>
      <c r="P474" t="str" cm="1">
        <f t="array" ref="P474">_xlfn.IFS(E474&lt;=2,"&lt;=2",E474&gt;2,"&gt;2")</f>
        <v>&lt;=2</v>
      </c>
    </row>
    <row r="475" spans="1:16">
      <c r="A475" s="2">
        <v>15665</v>
      </c>
      <c r="B475" s="2" t="s">
        <v>16</v>
      </c>
      <c r="C475" s="2" t="s">
        <v>17</v>
      </c>
      <c r="D475" s="6">
        <v>30000</v>
      </c>
      <c r="E475" s="2">
        <v>0</v>
      </c>
      <c r="F475" s="2" t="s">
        <v>18</v>
      </c>
      <c r="G475" s="2" t="s">
        <v>24</v>
      </c>
      <c r="H475" s="2" t="s">
        <v>20</v>
      </c>
      <c r="I475" s="2">
        <v>0</v>
      </c>
      <c r="J475" s="4" t="s">
        <v>21</v>
      </c>
      <c r="K475" s="2" t="s">
        <v>22</v>
      </c>
      <c r="L475" s="2">
        <v>47</v>
      </c>
      <c r="M475" t="str" cm="1">
        <f t="array" ref="M475">_xlfn.IFS(L475&lt;=35,"YOUNG_ADULTS",L475&lt;=55,"MIDDLE_AGED",L475&gt;55,"OLD-AGED")</f>
        <v>MIDDLE_AGED</v>
      </c>
      <c r="N475" s="2" t="s">
        <v>20</v>
      </c>
      <c r="O475" t="str" cm="1">
        <f t="array" ref="O475">_xlfn.IFS(D475&lt;=50000,"low income",D475&lt;=100000,"Mid income",D475&gt;100000,"High income")</f>
        <v>low income</v>
      </c>
      <c r="P475" t="str" cm="1">
        <f t="array" ref="P475">_xlfn.IFS(E475&lt;=2,"&lt;=2",E475&gt;2,"&gt;2")</f>
        <v>&lt;=2</v>
      </c>
    </row>
    <row r="476" spans="1:16">
      <c r="A476" s="2">
        <v>27585</v>
      </c>
      <c r="B476" s="2" t="s">
        <v>16</v>
      </c>
      <c r="C476" s="2" t="s">
        <v>17</v>
      </c>
      <c r="D476" s="6">
        <v>90000</v>
      </c>
      <c r="E476" s="2">
        <v>2</v>
      </c>
      <c r="F476" s="2" t="s">
        <v>18</v>
      </c>
      <c r="G476" s="2" t="s">
        <v>25</v>
      </c>
      <c r="H476" s="2" t="s">
        <v>26</v>
      </c>
      <c r="I476" s="2">
        <v>0</v>
      </c>
      <c r="J476" s="4" t="s">
        <v>21</v>
      </c>
      <c r="K476" s="2" t="s">
        <v>30</v>
      </c>
      <c r="L476" s="2">
        <v>36</v>
      </c>
      <c r="M476" t="str" cm="1">
        <f t="array" ref="M476">_xlfn.IFS(L476&lt;=35,"YOUNG_ADULTS",L476&lt;=55,"MIDDLE_AGED",L476&gt;55,"OLD-AGED")</f>
        <v>MIDDLE_AGED</v>
      </c>
      <c r="N476" s="2" t="s">
        <v>20</v>
      </c>
      <c r="O476" t="str" cm="1">
        <f t="array" ref="O476">_xlfn.IFS(D476&lt;=50000,"low income",D476&lt;=100000,"Mid income",D476&gt;100000,"High income")</f>
        <v>Mid income</v>
      </c>
      <c r="P476" t="str" cm="1">
        <f t="array" ref="P476">_xlfn.IFS(E476&lt;=2,"&lt;=2",E476&gt;2,"&gt;2")</f>
        <v>&lt;=2</v>
      </c>
    </row>
    <row r="477" spans="1:16">
      <c r="A477" s="2">
        <v>19748</v>
      </c>
      <c r="B477" s="2" t="s">
        <v>16</v>
      </c>
      <c r="C477" s="2" t="s">
        <v>16</v>
      </c>
      <c r="D477" s="6">
        <v>20000</v>
      </c>
      <c r="E477" s="2">
        <v>4</v>
      </c>
      <c r="F477" s="2" t="s">
        <v>33</v>
      </c>
      <c r="G477" s="2" t="s">
        <v>19</v>
      </c>
      <c r="H477" s="2" t="s">
        <v>26</v>
      </c>
      <c r="I477" s="2">
        <v>2</v>
      </c>
      <c r="J477" s="4" t="s">
        <v>32</v>
      </c>
      <c r="K477" s="2" t="s">
        <v>30</v>
      </c>
      <c r="L477" s="2">
        <v>60</v>
      </c>
      <c r="M477" t="str" cm="1">
        <f t="array" ref="M477">_xlfn.IFS(L477&lt;=35,"YOUNG_ADULTS",L477&lt;=55,"MIDDLE_AGED",L477&gt;55,"OLD-AGED")</f>
        <v>OLD-AGED</v>
      </c>
      <c r="O477" t="str" cm="1">
        <f t="array" ref="O477">_xlfn.IFS(D477&lt;=50000,"low income",D477&lt;=100000,"Mid income",D477&gt;100000,"High income")</f>
        <v>low income</v>
      </c>
      <c r="P477" t="str" cm="1">
        <f t="array" ref="P477">_xlfn.IFS(E477&lt;=2,"&lt;=2",E477&gt;2,"&gt;2")</f>
        <v>&gt;2</v>
      </c>
    </row>
    <row r="478" spans="1:16">
      <c r="A478" s="2">
        <v>21974</v>
      </c>
      <c r="B478" s="2" t="s">
        <v>28</v>
      </c>
      <c r="C478" s="2" t="s">
        <v>17</v>
      </c>
      <c r="D478" s="6">
        <v>70000</v>
      </c>
      <c r="E478" s="2">
        <v>0</v>
      </c>
      <c r="F478" s="2" t="s">
        <v>18</v>
      </c>
      <c r="G478" s="2" t="s">
        <v>25</v>
      </c>
      <c r="H478" s="2" t="s">
        <v>20</v>
      </c>
      <c r="I478" s="2">
        <v>1</v>
      </c>
      <c r="J478" s="4" t="s">
        <v>29</v>
      </c>
      <c r="K478" s="2" t="s">
        <v>30</v>
      </c>
      <c r="L478" s="2">
        <v>42</v>
      </c>
      <c r="M478" t="str" cm="1">
        <f t="array" ref="M478">_xlfn.IFS(L478&lt;=35,"YOUNG_ADULTS",L478&lt;=55,"MIDDLE_AGED",L478&gt;55,"OLD-AGED")</f>
        <v>MIDDLE_AGED</v>
      </c>
      <c r="N478" s="2" t="s">
        <v>20</v>
      </c>
      <c r="O478" t="str" cm="1">
        <f t="array" ref="O478">_xlfn.IFS(D478&lt;=50000,"low income",D478&lt;=100000,"Mid income",D478&gt;100000,"High income")</f>
        <v>Mid income</v>
      </c>
      <c r="P478" t="str" cm="1">
        <f t="array" ref="P478">_xlfn.IFS(E478&lt;=2,"&lt;=2",E478&gt;2,"&gt;2")</f>
        <v>&lt;=2</v>
      </c>
    </row>
    <row r="479" spans="1:16">
      <c r="A479" s="2">
        <v>14032</v>
      </c>
      <c r="B479" s="2" t="s">
        <v>16</v>
      </c>
      <c r="C479" s="2" t="s">
        <v>16</v>
      </c>
      <c r="D479" s="6">
        <v>70000</v>
      </c>
      <c r="E479" s="2">
        <v>2</v>
      </c>
      <c r="F479" s="2" t="s">
        <v>33</v>
      </c>
      <c r="G479" s="2" t="s">
        <v>19</v>
      </c>
      <c r="H479" s="2" t="s">
        <v>26</v>
      </c>
      <c r="I479" s="2">
        <v>2</v>
      </c>
      <c r="J479" s="4" t="s">
        <v>32</v>
      </c>
      <c r="K479" s="2" t="s">
        <v>30</v>
      </c>
      <c r="L479" s="2">
        <v>50</v>
      </c>
      <c r="M479" t="str" cm="1">
        <f t="array" ref="M479">_xlfn.IFS(L479&lt;=35,"YOUNG_ADULTS",L479&lt;=55,"MIDDLE_AGED",L479&gt;55,"OLD-AGED")</f>
        <v>MIDDLE_AGED</v>
      </c>
      <c r="N479" s="2" t="s">
        <v>20</v>
      </c>
      <c r="O479" t="str" cm="1">
        <f t="array" ref="O479">_xlfn.IFS(D479&lt;=50000,"low income",D479&lt;=100000,"Mid income",D479&gt;100000,"High income")</f>
        <v>Mid income</v>
      </c>
      <c r="P479" t="str" cm="1">
        <f t="array" ref="P479">_xlfn.IFS(E479&lt;=2,"&lt;=2",E479&gt;2,"&gt;2")</f>
        <v>&lt;=2</v>
      </c>
    </row>
    <row r="480" spans="1:16">
      <c r="A480" s="2">
        <v>22610</v>
      </c>
      <c r="B480" s="2" t="s">
        <v>16</v>
      </c>
      <c r="C480" s="2" t="s">
        <v>16</v>
      </c>
      <c r="D480" s="6">
        <v>30000</v>
      </c>
      <c r="E480" s="2">
        <v>0</v>
      </c>
      <c r="F480" s="2" t="s">
        <v>18</v>
      </c>
      <c r="G480" s="2" t="s">
        <v>24</v>
      </c>
      <c r="H480" s="2" t="s">
        <v>20</v>
      </c>
      <c r="I480" s="2">
        <v>0</v>
      </c>
      <c r="J480" s="4" t="s">
        <v>21</v>
      </c>
      <c r="K480" s="2" t="s">
        <v>22</v>
      </c>
      <c r="L480" s="2">
        <v>35</v>
      </c>
      <c r="M480" t="str" cm="1">
        <f t="array" ref="M480">_xlfn.IFS(L480&lt;=35,"YOUNG_ADULTS",L480&lt;=55,"MIDDLE_AGED",L480&gt;55,"OLD-AGED")</f>
        <v>YOUNG_ADULTS</v>
      </c>
      <c r="N480" s="2" t="s">
        <v>20</v>
      </c>
      <c r="O480" t="str" cm="1">
        <f t="array" ref="O480">_xlfn.IFS(D480&lt;=50000,"low income",D480&lt;=100000,"Mid income",D480&gt;100000,"High income")</f>
        <v>low income</v>
      </c>
      <c r="P480" t="str" cm="1">
        <f t="array" ref="P480">_xlfn.IFS(E480&lt;=2,"&lt;=2",E480&gt;2,"&gt;2")</f>
        <v>&lt;=2</v>
      </c>
    </row>
    <row r="481" spans="1:16">
      <c r="A481" s="2">
        <v>26984</v>
      </c>
      <c r="B481" s="2" t="s">
        <v>16</v>
      </c>
      <c r="C481" s="2" t="s">
        <v>16</v>
      </c>
      <c r="D481" s="6">
        <v>40000</v>
      </c>
      <c r="E481" s="2">
        <v>1</v>
      </c>
      <c r="F481" s="2" t="s">
        <v>18</v>
      </c>
      <c r="G481" s="2" t="s">
        <v>19</v>
      </c>
      <c r="H481" s="2" t="s">
        <v>20</v>
      </c>
      <c r="I481" s="2">
        <v>1</v>
      </c>
      <c r="J481" s="4" t="s">
        <v>21</v>
      </c>
      <c r="K481" s="2" t="s">
        <v>22</v>
      </c>
      <c r="L481" s="2">
        <v>32</v>
      </c>
      <c r="M481" t="str" cm="1">
        <f t="array" ref="M481">_xlfn.IFS(L481&lt;=35,"YOUNG_ADULTS",L481&lt;=55,"MIDDLE_AGED",L481&gt;55,"OLD-AGED")</f>
        <v>YOUNG_ADULTS</v>
      </c>
      <c r="N481" s="2" t="s">
        <v>20</v>
      </c>
      <c r="O481" t="str" cm="1">
        <f t="array" ref="O481">_xlfn.IFS(D481&lt;=50000,"low income",D481&lt;=100000,"Mid income",D481&gt;100000,"High income")</f>
        <v>low income</v>
      </c>
      <c r="P481" t="str" cm="1">
        <f t="array" ref="P481">_xlfn.IFS(E481&lt;=2,"&lt;=2",E481&gt;2,"&gt;2")</f>
        <v>&lt;=2</v>
      </c>
    </row>
    <row r="482" spans="1:16">
      <c r="A482" s="2">
        <v>18294</v>
      </c>
      <c r="B482" s="2" t="s">
        <v>16</v>
      </c>
      <c r="C482" s="2" t="s">
        <v>17</v>
      </c>
      <c r="D482" s="6">
        <v>90000</v>
      </c>
      <c r="E482" s="2">
        <v>1</v>
      </c>
      <c r="F482" s="2" t="s">
        <v>18</v>
      </c>
      <c r="G482" s="2" t="s">
        <v>25</v>
      </c>
      <c r="H482" s="2" t="s">
        <v>20</v>
      </c>
      <c r="I482" s="2">
        <v>1</v>
      </c>
      <c r="J482" s="4" t="s">
        <v>29</v>
      </c>
      <c r="K482" s="2" t="s">
        <v>30</v>
      </c>
      <c r="L482" s="2">
        <v>46</v>
      </c>
      <c r="M482" t="str" cm="1">
        <f t="array" ref="M482">_xlfn.IFS(L482&lt;=35,"YOUNG_ADULTS",L482&lt;=55,"MIDDLE_AGED",L482&gt;55,"OLD-AGED")</f>
        <v>MIDDLE_AGED</v>
      </c>
      <c r="O482" t="str" cm="1">
        <f t="array" ref="O482">_xlfn.IFS(D482&lt;=50000,"low income",D482&lt;=100000,"Mid income",D482&gt;100000,"High income")</f>
        <v>Mid income</v>
      </c>
      <c r="P482" t="str" cm="1">
        <f t="array" ref="P482">_xlfn.IFS(E482&lt;=2,"&lt;=2",E482&gt;2,"&gt;2")</f>
        <v>&lt;=2</v>
      </c>
    </row>
    <row r="483" spans="1:16">
      <c r="A483" s="2">
        <v>28564</v>
      </c>
      <c r="B483" s="2" t="s">
        <v>28</v>
      </c>
      <c r="C483" s="2" t="s">
        <v>17</v>
      </c>
      <c r="D483" s="6">
        <v>40000</v>
      </c>
      <c r="E483" s="2">
        <v>2</v>
      </c>
      <c r="F483" s="2" t="s">
        <v>23</v>
      </c>
      <c r="G483" s="2" t="s">
        <v>24</v>
      </c>
      <c r="H483" s="2" t="s">
        <v>20</v>
      </c>
      <c r="I483" s="2">
        <v>0</v>
      </c>
      <c r="J483" s="4" t="s">
        <v>32</v>
      </c>
      <c r="K483" s="2" t="s">
        <v>22</v>
      </c>
      <c r="L483" s="2">
        <v>33</v>
      </c>
      <c r="M483" t="str" cm="1">
        <f t="array" ref="M483">_xlfn.IFS(L483&lt;=35,"YOUNG_ADULTS",L483&lt;=55,"MIDDLE_AGED",L483&gt;55,"OLD-AGED")</f>
        <v>YOUNG_ADULTS</v>
      </c>
      <c r="N483" s="2" t="s">
        <v>20</v>
      </c>
      <c r="O483" t="str" cm="1">
        <f t="array" ref="O483">_xlfn.IFS(D483&lt;=50000,"low income",D483&lt;=100000,"Mid income",D483&gt;100000,"High income")</f>
        <v>low income</v>
      </c>
      <c r="P483" t="str" cm="1">
        <f t="array" ref="P483">_xlfn.IFS(E483&lt;=2,"&lt;=2",E483&gt;2,"&gt;2")</f>
        <v>&lt;=2</v>
      </c>
    </row>
    <row r="484" spans="1:16">
      <c r="A484" s="2">
        <v>28521</v>
      </c>
      <c r="B484" s="2" t="s">
        <v>28</v>
      </c>
      <c r="C484" s="2" t="s">
        <v>16</v>
      </c>
      <c r="D484" s="6">
        <v>40000</v>
      </c>
      <c r="E484" s="2">
        <v>0</v>
      </c>
      <c r="F484" s="2" t="s">
        <v>37</v>
      </c>
      <c r="G484" s="2" t="s">
        <v>24</v>
      </c>
      <c r="H484" s="2" t="s">
        <v>26</v>
      </c>
      <c r="I484" s="2">
        <v>0</v>
      </c>
      <c r="J484" s="4" t="s">
        <v>21</v>
      </c>
      <c r="K484" s="2" t="s">
        <v>22</v>
      </c>
      <c r="L484" s="2">
        <v>36</v>
      </c>
      <c r="M484" t="str" cm="1">
        <f t="array" ref="M484">_xlfn.IFS(L484&lt;=35,"YOUNG_ADULTS",L484&lt;=55,"MIDDLE_AGED",L484&gt;55,"OLD-AGED")</f>
        <v>MIDDLE_AGED</v>
      </c>
      <c r="N484" s="2" t="s">
        <v>20</v>
      </c>
      <c r="O484" t="str" cm="1">
        <f t="array" ref="O484">_xlfn.IFS(D484&lt;=50000,"low income",D484&lt;=100000,"Mid income",D484&gt;100000,"High income")</f>
        <v>low income</v>
      </c>
      <c r="P484" t="str" cm="1">
        <f t="array" ref="P484">_xlfn.IFS(E484&lt;=2,"&lt;=2",E484&gt;2,"&gt;2")</f>
        <v>&lt;=2</v>
      </c>
    </row>
    <row r="485" spans="1:16">
      <c r="A485" s="2">
        <v>15450</v>
      </c>
      <c r="B485" s="2" t="s">
        <v>16</v>
      </c>
      <c r="C485" s="2" t="s">
        <v>16</v>
      </c>
      <c r="D485" s="6">
        <v>10000</v>
      </c>
      <c r="E485" s="2">
        <v>1</v>
      </c>
      <c r="F485" s="2" t="s">
        <v>37</v>
      </c>
      <c r="G485" s="2" t="s">
        <v>24</v>
      </c>
      <c r="H485" s="2" t="s">
        <v>20</v>
      </c>
      <c r="I485" s="2">
        <v>0</v>
      </c>
      <c r="J485" s="4" t="s">
        <v>21</v>
      </c>
      <c r="K485" s="2" t="s">
        <v>22</v>
      </c>
      <c r="L485" s="2">
        <v>70</v>
      </c>
      <c r="M485" t="str" cm="1">
        <f t="array" ref="M485">_xlfn.IFS(L485&lt;=35,"YOUNG_ADULTS",L485&lt;=55,"MIDDLE_AGED",L485&gt;55,"OLD-AGED")</f>
        <v>OLD-AGED</v>
      </c>
      <c r="O485" t="str" cm="1">
        <f t="array" ref="O485">_xlfn.IFS(D485&lt;=50000,"low income",D485&lt;=100000,"Mid income",D485&gt;100000,"High income")</f>
        <v>low income</v>
      </c>
      <c r="P485" t="str" cm="1">
        <f t="array" ref="P485">_xlfn.IFS(E485&lt;=2,"&lt;=2",E485&gt;2,"&gt;2")</f>
        <v>&lt;=2</v>
      </c>
    </row>
    <row r="486" spans="1:16">
      <c r="A486" s="2">
        <v>25681</v>
      </c>
      <c r="B486" s="2" t="s">
        <v>28</v>
      </c>
      <c r="C486" s="2" t="s">
        <v>17</v>
      </c>
      <c r="D486" s="6">
        <v>30000</v>
      </c>
      <c r="E486" s="2">
        <v>0</v>
      </c>
      <c r="F486" s="2" t="s">
        <v>23</v>
      </c>
      <c r="G486" s="2" t="s">
        <v>24</v>
      </c>
      <c r="H486" s="2" t="s">
        <v>26</v>
      </c>
      <c r="I486" s="2">
        <v>1</v>
      </c>
      <c r="J486" s="4" t="s">
        <v>27</v>
      </c>
      <c r="K486" s="2" t="s">
        <v>22</v>
      </c>
      <c r="L486" s="2">
        <v>31</v>
      </c>
      <c r="M486" t="str" cm="1">
        <f t="array" ref="M486">_xlfn.IFS(L486&lt;=35,"YOUNG_ADULTS",L486&lt;=55,"MIDDLE_AGED",L486&gt;55,"OLD-AGED")</f>
        <v>YOUNG_ADULTS</v>
      </c>
      <c r="N486" s="2" t="s">
        <v>20</v>
      </c>
      <c r="O486" t="str" cm="1">
        <f t="array" ref="O486">_xlfn.IFS(D486&lt;=50000,"low income",D486&lt;=100000,"Mid income",D486&gt;100000,"High income")</f>
        <v>low income</v>
      </c>
      <c r="P486" t="str" cm="1">
        <f t="array" ref="P486">_xlfn.IFS(E486&lt;=2,"&lt;=2",E486&gt;2,"&gt;2")</f>
        <v>&lt;=2</v>
      </c>
    </row>
    <row r="487" spans="1:16">
      <c r="A487" s="2">
        <v>19491</v>
      </c>
      <c r="B487" s="2" t="s">
        <v>28</v>
      </c>
      <c r="C487" s="2" t="s">
        <v>16</v>
      </c>
      <c r="D487" s="6">
        <v>30000</v>
      </c>
      <c r="E487" s="2">
        <v>2</v>
      </c>
      <c r="F487" s="2" t="s">
        <v>23</v>
      </c>
      <c r="G487" s="2" t="s">
        <v>24</v>
      </c>
      <c r="H487" s="2" t="s">
        <v>20</v>
      </c>
      <c r="I487" s="2">
        <v>2</v>
      </c>
      <c r="J487" s="4" t="s">
        <v>21</v>
      </c>
      <c r="K487" s="2" t="s">
        <v>22</v>
      </c>
      <c r="L487" s="2">
        <v>42</v>
      </c>
      <c r="M487" t="str" cm="1">
        <f t="array" ref="M487">_xlfn.IFS(L487&lt;=35,"YOUNG_ADULTS",L487&lt;=55,"MIDDLE_AGED",L487&gt;55,"OLD-AGED")</f>
        <v>MIDDLE_AGED</v>
      </c>
      <c r="O487" t="str" cm="1">
        <f t="array" ref="O487">_xlfn.IFS(D487&lt;=50000,"low income",D487&lt;=100000,"Mid income",D487&gt;100000,"High income")</f>
        <v>low income</v>
      </c>
      <c r="P487" t="str" cm="1">
        <f t="array" ref="P487">_xlfn.IFS(E487&lt;=2,"&lt;=2",E487&gt;2,"&gt;2")</f>
        <v>&lt;=2</v>
      </c>
    </row>
    <row r="488" spans="1:16">
      <c r="A488" s="2">
        <v>26415</v>
      </c>
      <c r="B488" s="2" t="s">
        <v>16</v>
      </c>
      <c r="C488" s="2" t="s">
        <v>17</v>
      </c>
      <c r="D488" s="6">
        <v>90000</v>
      </c>
      <c r="E488" s="2">
        <v>4</v>
      </c>
      <c r="F488" s="2" t="s">
        <v>35</v>
      </c>
      <c r="G488" s="2" t="s">
        <v>19</v>
      </c>
      <c r="H488" s="2" t="s">
        <v>20</v>
      </c>
      <c r="I488" s="2">
        <v>4</v>
      </c>
      <c r="J488" s="4" t="s">
        <v>36</v>
      </c>
      <c r="K488" s="2" t="s">
        <v>22</v>
      </c>
      <c r="L488" s="2">
        <v>58</v>
      </c>
      <c r="M488" t="str" cm="1">
        <f t="array" ref="M488">_xlfn.IFS(L488&lt;=35,"YOUNG_ADULTS",L488&lt;=55,"MIDDLE_AGED",L488&gt;55,"OLD-AGED")</f>
        <v>OLD-AGED</v>
      </c>
      <c r="O488" t="str" cm="1">
        <f t="array" ref="O488">_xlfn.IFS(D488&lt;=50000,"low income",D488&lt;=100000,"Mid income",D488&gt;100000,"High income")</f>
        <v>Mid income</v>
      </c>
      <c r="P488" t="str" cm="1">
        <f t="array" ref="P488">_xlfn.IFS(E488&lt;=2,"&lt;=2",E488&gt;2,"&gt;2")</f>
        <v>&gt;2</v>
      </c>
    </row>
    <row r="489" spans="1:16">
      <c r="A489" s="2">
        <v>12821</v>
      </c>
      <c r="B489" s="2" t="s">
        <v>16</v>
      </c>
      <c r="C489" s="2" t="s">
        <v>16</v>
      </c>
      <c r="D489" s="6">
        <v>40000</v>
      </c>
      <c r="E489" s="2">
        <v>0</v>
      </c>
      <c r="F489" s="2" t="s">
        <v>18</v>
      </c>
      <c r="G489" s="2" t="s">
        <v>24</v>
      </c>
      <c r="H489" s="2" t="s">
        <v>20</v>
      </c>
      <c r="I489" s="2">
        <v>0</v>
      </c>
      <c r="J489" s="4" t="s">
        <v>21</v>
      </c>
      <c r="K489" s="2" t="s">
        <v>22</v>
      </c>
      <c r="L489" s="2">
        <v>39</v>
      </c>
      <c r="M489" t="str" cm="1">
        <f t="array" ref="M489">_xlfn.IFS(L489&lt;=35,"YOUNG_ADULTS",L489&lt;=55,"MIDDLE_AGED",L489&gt;55,"OLD-AGED")</f>
        <v>MIDDLE_AGED</v>
      </c>
      <c r="O489" t="str" cm="1">
        <f t="array" ref="O489">_xlfn.IFS(D489&lt;=50000,"low income",D489&lt;=100000,"Mid income",D489&gt;100000,"High income")</f>
        <v>low income</v>
      </c>
      <c r="P489" t="str" cm="1">
        <f t="array" ref="P489">_xlfn.IFS(E489&lt;=2,"&lt;=2",E489&gt;2,"&gt;2")</f>
        <v>&lt;=2</v>
      </c>
    </row>
    <row r="490" spans="1:16">
      <c r="A490" s="2">
        <v>15629</v>
      </c>
      <c r="B490" s="2" t="s">
        <v>28</v>
      </c>
      <c r="C490" s="2" t="s">
        <v>17</v>
      </c>
      <c r="D490" s="6">
        <v>10000</v>
      </c>
      <c r="E490" s="2">
        <v>0</v>
      </c>
      <c r="F490" s="2" t="s">
        <v>35</v>
      </c>
      <c r="G490" s="2" t="s">
        <v>31</v>
      </c>
      <c r="H490" s="2" t="s">
        <v>20</v>
      </c>
      <c r="I490" s="2">
        <v>2</v>
      </c>
      <c r="J490" s="4" t="s">
        <v>32</v>
      </c>
      <c r="K490" s="2" t="s">
        <v>22</v>
      </c>
      <c r="L490" s="2">
        <v>34</v>
      </c>
      <c r="M490" t="str" cm="1">
        <f t="array" ref="M490">_xlfn.IFS(L490&lt;=35,"YOUNG_ADULTS",L490&lt;=55,"MIDDLE_AGED",L490&gt;55,"OLD-AGED")</f>
        <v>YOUNG_ADULTS</v>
      </c>
      <c r="O490" t="str" cm="1">
        <f t="array" ref="O490">_xlfn.IFS(D490&lt;=50000,"low income",D490&lt;=100000,"Mid income",D490&gt;100000,"High income")</f>
        <v>low income</v>
      </c>
      <c r="P490" t="str" cm="1">
        <f t="array" ref="P490">_xlfn.IFS(E490&lt;=2,"&lt;=2",E490&gt;2,"&gt;2")</f>
        <v>&lt;=2</v>
      </c>
    </row>
    <row r="491" spans="1:16">
      <c r="A491" s="2">
        <v>27835</v>
      </c>
      <c r="B491" s="2" t="s">
        <v>16</v>
      </c>
      <c r="C491" s="2" t="s">
        <v>16</v>
      </c>
      <c r="D491" s="6">
        <v>20000</v>
      </c>
      <c r="E491" s="2">
        <v>0</v>
      </c>
      <c r="F491" s="2" t="s">
        <v>35</v>
      </c>
      <c r="G491" s="2" t="s">
        <v>31</v>
      </c>
      <c r="H491" s="2" t="s">
        <v>20</v>
      </c>
      <c r="I491" s="2">
        <v>2</v>
      </c>
      <c r="J491" s="4" t="s">
        <v>21</v>
      </c>
      <c r="K491" s="2" t="s">
        <v>22</v>
      </c>
      <c r="L491" s="2">
        <v>32</v>
      </c>
      <c r="M491" t="str" cm="1">
        <f t="array" ref="M491">_xlfn.IFS(L491&lt;=35,"YOUNG_ADULTS",L491&lt;=55,"MIDDLE_AGED",L491&gt;55,"OLD-AGED")</f>
        <v>YOUNG_ADULTS</v>
      </c>
      <c r="O491" t="str" cm="1">
        <f t="array" ref="O491">_xlfn.IFS(D491&lt;=50000,"low income",D491&lt;=100000,"Mid income",D491&gt;100000,"High income")</f>
        <v>low income</v>
      </c>
      <c r="P491" t="str" cm="1">
        <f t="array" ref="P491">_xlfn.IFS(E491&lt;=2,"&lt;=2",E491&gt;2,"&gt;2")</f>
        <v>&lt;=2</v>
      </c>
    </row>
    <row r="492" spans="1:16">
      <c r="A492" s="2">
        <v>11738</v>
      </c>
      <c r="B492" s="2" t="s">
        <v>16</v>
      </c>
      <c r="C492" s="2" t="s">
        <v>16</v>
      </c>
      <c r="D492" s="6">
        <v>60000</v>
      </c>
      <c r="E492" s="2">
        <v>4</v>
      </c>
      <c r="F492" s="2" t="s">
        <v>18</v>
      </c>
      <c r="G492" s="2" t="s">
        <v>25</v>
      </c>
      <c r="H492" s="2" t="s">
        <v>20</v>
      </c>
      <c r="I492" s="2">
        <v>0</v>
      </c>
      <c r="J492" s="4" t="s">
        <v>27</v>
      </c>
      <c r="K492" s="2" t="s">
        <v>38</v>
      </c>
      <c r="L492" s="2">
        <v>46</v>
      </c>
      <c r="M492" t="str" cm="1">
        <f t="array" ref="M492">_xlfn.IFS(L492&lt;=35,"YOUNG_ADULTS",L492&lt;=55,"MIDDLE_AGED",L492&gt;55,"OLD-AGED")</f>
        <v>MIDDLE_AGED</v>
      </c>
      <c r="O492" t="str" cm="1">
        <f t="array" ref="O492">_xlfn.IFS(D492&lt;=50000,"low income",D492&lt;=100000,"Mid income",D492&gt;100000,"High income")</f>
        <v>Mid income</v>
      </c>
      <c r="P492" t="str" cm="1">
        <f t="array" ref="P492">_xlfn.IFS(E492&lt;=2,"&lt;=2",E492&gt;2,"&gt;2")</f>
        <v>&gt;2</v>
      </c>
    </row>
    <row r="493" spans="1:16">
      <c r="A493" s="2">
        <v>25065</v>
      </c>
      <c r="B493" s="2" t="s">
        <v>16</v>
      </c>
      <c r="C493" s="2" t="s">
        <v>16</v>
      </c>
      <c r="D493" s="6">
        <v>70000</v>
      </c>
      <c r="E493" s="2">
        <v>2</v>
      </c>
      <c r="F493" s="2" t="s">
        <v>35</v>
      </c>
      <c r="G493" s="2" t="s">
        <v>19</v>
      </c>
      <c r="H493" s="2" t="s">
        <v>20</v>
      </c>
      <c r="I493" s="2">
        <v>2</v>
      </c>
      <c r="J493" s="4" t="s">
        <v>29</v>
      </c>
      <c r="K493" s="2" t="s">
        <v>38</v>
      </c>
      <c r="L493" s="2">
        <v>48</v>
      </c>
      <c r="M493" t="str" cm="1">
        <f t="array" ref="M493">_xlfn.IFS(L493&lt;=35,"YOUNG_ADULTS",L493&lt;=55,"MIDDLE_AGED",L493&gt;55,"OLD-AGED")</f>
        <v>MIDDLE_AGED</v>
      </c>
      <c r="O493" t="str" cm="1">
        <f t="array" ref="O493">_xlfn.IFS(D493&lt;=50000,"low income",D493&lt;=100000,"Mid income",D493&gt;100000,"High income")</f>
        <v>Mid income</v>
      </c>
      <c r="P493" t="str" cm="1">
        <f t="array" ref="P493">_xlfn.IFS(E493&lt;=2,"&lt;=2",E493&gt;2,"&gt;2")</f>
        <v>&lt;=2</v>
      </c>
    </row>
    <row r="494" spans="1:16">
      <c r="A494" s="2">
        <v>26238</v>
      </c>
      <c r="B494" s="2" t="s">
        <v>28</v>
      </c>
      <c r="C494" s="2" t="s">
        <v>17</v>
      </c>
      <c r="D494" s="6">
        <v>40000</v>
      </c>
      <c r="E494" s="2">
        <v>3</v>
      </c>
      <c r="F494" s="2" t="s">
        <v>23</v>
      </c>
      <c r="G494" s="2" t="s">
        <v>24</v>
      </c>
      <c r="H494" s="2" t="s">
        <v>20</v>
      </c>
      <c r="I494" s="2">
        <v>1</v>
      </c>
      <c r="J494" s="4" t="s">
        <v>32</v>
      </c>
      <c r="K494" s="2" t="s">
        <v>38</v>
      </c>
      <c r="L494" s="2">
        <v>31</v>
      </c>
      <c r="M494" t="str" cm="1">
        <f t="array" ref="M494">_xlfn.IFS(L494&lt;=35,"YOUNG_ADULTS",L494&lt;=55,"MIDDLE_AGED",L494&gt;55,"OLD-AGED")</f>
        <v>YOUNG_ADULTS</v>
      </c>
      <c r="N494" s="2" t="s">
        <v>20</v>
      </c>
      <c r="O494" t="str" cm="1">
        <f t="array" ref="O494">_xlfn.IFS(D494&lt;=50000,"low income",D494&lt;=100000,"Mid income",D494&gt;100000,"High income")</f>
        <v>low income</v>
      </c>
      <c r="P494" t="str" cm="1">
        <f t="array" ref="P494">_xlfn.IFS(E494&lt;=2,"&lt;=2",E494&gt;2,"&gt;2")</f>
        <v>&gt;2</v>
      </c>
    </row>
    <row r="495" spans="1:16">
      <c r="A495" s="2">
        <v>23707</v>
      </c>
      <c r="B495" s="2" t="s">
        <v>28</v>
      </c>
      <c r="C495" s="2" t="s">
        <v>16</v>
      </c>
      <c r="D495" s="6">
        <v>70000</v>
      </c>
      <c r="E495" s="2">
        <v>5</v>
      </c>
      <c r="F495" s="2" t="s">
        <v>18</v>
      </c>
      <c r="G495" s="2" t="s">
        <v>34</v>
      </c>
      <c r="H495" s="2" t="s">
        <v>20</v>
      </c>
      <c r="I495" s="2">
        <v>3</v>
      </c>
      <c r="J495" s="4" t="s">
        <v>36</v>
      </c>
      <c r="K495" s="2" t="s">
        <v>38</v>
      </c>
      <c r="L495" s="2">
        <v>60</v>
      </c>
      <c r="M495" t="str" cm="1">
        <f t="array" ref="M495">_xlfn.IFS(L495&lt;=35,"YOUNG_ADULTS",L495&lt;=55,"MIDDLE_AGED",L495&gt;55,"OLD-AGED")</f>
        <v>OLD-AGED</v>
      </c>
      <c r="N495" s="2" t="s">
        <v>20</v>
      </c>
      <c r="O495" t="str" cm="1">
        <f t="array" ref="O495">_xlfn.IFS(D495&lt;=50000,"low income",D495&lt;=100000,"Mid income",D495&gt;100000,"High income")</f>
        <v>Mid income</v>
      </c>
      <c r="P495" t="str" cm="1">
        <f t="array" ref="P495">_xlfn.IFS(E495&lt;=2,"&lt;=2",E495&gt;2,"&gt;2")</f>
        <v>&gt;2</v>
      </c>
    </row>
    <row r="496" spans="1:16">
      <c r="A496" s="2">
        <v>27650</v>
      </c>
      <c r="B496" s="2" t="s">
        <v>16</v>
      </c>
      <c r="C496" s="2" t="s">
        <v>16</v>
      </c>
      <c r="D496" s="6">
        <v>70000</v>
      </c>
      <c r="E496" s="2">
        <v>4</v>
      </c>
      <c r="F496" s="2" t="s">
        <v>33</v>
      </c>
      <c r="G496" s="2" t="s">
        <v>25</v>
      </c>
      <c r="H496" s="2" t="s">
        <v>20</v>
      </c>
      <c r="I496" s="2">
        <v>0</v>
      </c>
      <c r="J496" s="4" t="s">
        <v>29</v>
      </c>
      <c r="K496" s="2" t="s">
        <v>38</v>
      </c>
      <c r="L496" s="2">
        <v>51</v>
      </c>
      <c r="M496" t="str" cm="1">
        <f t="array" ref="M496">_xlfn.IFS(L496&lt;=35,"YOUNG_ADULTS",L496&lt;=55,"MIDDLE_AGED",L496&gt;55,"OLD-AGED")</f>
        <v>MIDDLE_AGED</v>
      </c>
      <c r="O496" t="str" cm="1">
        <f t="array" ref="O496">_xlfn.IFS(D496&lt;=50000,"low income",D496&lt;=100000,"Mid income",D496&gt;100000,"High income")</f>
        <v>Mid income</v>
      </c>
      <c r="P496" t="str" cm="1">
        <f t="array" ref="P496">_xlfn.IFS(E496&lt;=2,"&lt;=2",E496&gt;2,"&gt;2")</f>
        <v>&gt;2</v>
      </c>
    </row>
    <row r="497" spans="1:16">
      <c r="A497" s="2">
        <v>24981</v>
      </c>
      <c r="B497" s="2" t="s">
        <v>16</v>
      </c>
      <c r="C497" s="2" t="s">
        <v>16</v>
      </c>
      <c r="D497" s="6">
        <v>60000</v>
      </c>
      <c r="E497" s="2">
        <v>2</v>
      </c>
      <c r="F497" s="2" t="s">
        <v>23</v>
      </c>
      <c r="G497" s="2" t="s">
        <v>25</v>
      </c>
      <c r="H497" s="2" t="s">
        <v>20</v>
      </c>
      <c r="I497" s="2">
        <v>2</v>
      </c>
      <c r="J497" s="4" t="s">
        <v>36</v>
      </c>
      <c r="K497" s="2" t="s">
        <v>38</v>
      </c>
      <c r="L497" s="2">
        <v>56</v>
      </c>
      <c r="M497" t="str" cm="1">
        <f t="array" ref="M497">_xlfn.IFS(L497&lt;=35,"YOUNG_ADULTS",L497&lt;=55,"MIDDLE_AGED",L497&gt;55,"OLD-AGED")</f>
        <v>OLD-AGED</v>
      </c>
      <c r="O497" t="str" cm="1">
        <f t="array" ref="O497">_xlfn.IFS(D497&lt;=50000,"low income",D497&lt;=100000,"Mid income",D497&gt;100000,"High income")</f>
        <v>Mid income</v>
      </c>
      <c r="P497" t="str" cm="1">
        <f t="array" ref="P497">_xlfn.IFS(E497&lt;=2,"&lt;=2",E497&gt;2,"&gt;2")</f>
        <v>&lt;=2</v>
      </c>
    </row>
    <row r="498" spans="1:16">
      <c r="A498" s="2">
        <v>20678</v>
      </c>
      <c r="B498" s="2" t="s">
        <v>28</v>
      </c>
      <c r="C498" s="2" t="s">
        <v>17</v>
      </c>
      <c r="D498" s="6">
        <v>60000</v>
      </c>
      <c r="E498" s="2">
        <v>3</v>
      </c>
      <c r="F498" s="2" t="s">
        <v>18</v>
      </c>
      <c r="G498" s="2" t="s">
        <v>19</v>
      </c>
      <c r="H498" s="2" t="s">
        <v>20</v>
      </c>
      <c r="I498" s="2">
        <v>1</v>
      </c>
      <c r="J498" s="4" t="s">
        <v>27</v>
      </c>
      <c r="K498" s="2" t="s">
        <v>38</v>
      </c>
      <c r="L498" s="2">
        <v>40</v>
      </c>
      <c r="M498" t="str" cm="1">
        <f t="array" ref="M498">_xlfn.IFS(L498&lt;=35,"YOUNG_ADULTS",L498&lt;=55,"MIDDLE_AGED",L498&gt;55,"OLD-AGED")</f>
        <v>MIDDLE_AGED</v>
      </c>
      <c r="N498" s="2" t="s">
        <v>20</v>
      </c>
      <c r="O498" t="str" cm="1">
        <f t="array" ref="O498">_xlfn.IFS(D498&lt;=50000,"low income",D498&lt;=100000,"Mid income",D498&gt;100000,"High income")</f>
        <v>Mid income</v>
      </c>
      <c r="P498" t="str" cm="1">
        <f t="array" ref="P498">_xlfn.IFS(E498&lt;=2,"&lt;=2",E498&gt;2,"&gt;2")</f>
        <v>&gt;2</v>
      </c>
    </row>
    <row r="499" spans="1:16">
      <c r="A499" s="2">
        <v>15302</v>
      </c>
      <c r="B499" s="2" t="s">
        <v>28</v>
      </c>
      <c r="C499" s="2" t="s">
        <v>17</v>
      </c>
      <c r="D499" s="6">
        <v>70000</v>
      </c>
      <c r="E499" s="2">
        <v>1</v>
      </c>
      <c r="F499" s="2" t="s">
        <v>37</v>
      </c>
      <c r="G499" s="2" t="s">
        <v>25</v>
      </c>
      <c r="H499" s="2" t="s">
        <v>20</v>
      </c>
      <c r="I499" s="2">
        <v>0</v>
      </c>
      <c r="J499" s="4" t="s">
        <v>27</v>
      </c>
      <c r="K499" s="2" t="s">
        <v>38</v>
      </c>
      <c r="L499" s="2">
        <v>34</v>
      </c>
      <c r="M499" t="str" cm="1">
        <f t="array" ref="M499">_xlfn.IFS(L499&lt;=35,"YOUNG_ADULTS",L499&lt;=55,"MIDDLE_AGED",L499&gt;55,"OLD-AGED")</f>
        <v>YOUNG_ADULTS</v>
      </c>
      <c r="N499" s="2" t="s">
        <v>20</v>
      </c>
      <c r="O499" t="str" cm="1">
        <f t="array" ref="O499">_xlfn.IFS(D499&lt;=50000,"low income",D499&lt;=100000,"Mid income",D499&gt;100000,"High income")</f>
        <v>Mid income</v>
      </c>
      <c r="P499" t="str" cm="1">
        <f t="array" ref="P499">_xlfn.IFS(E499&lt;=2,"&lt;=2",E499&gt;2,"&gt;2")</f>
        <v>&lt;=2</v>
      </c>
    </row>
    <row r="500" spans="1:16">
      <c r="A500" s="2">
        <v>26012</v>
      </c>
      <c r="B500" s="2" t="s">
        <v>16</v>
      </c>
      <c r="C500" s="2" t="s">
        <v>16</v>
      </c>
      <c r="D500" s="6">
        <v>80000</v>
      </c>
      <c r="E500" s="2">
        <v>1</v>
      </c>
      <c r="F500" s="2" t="s">
        <v>23</v>
      </c>
      <c r="G500" s="2" t="s">
        <v>19</v>
      </c>
      <c r="H500" s="2" t="s">
        <v>20</v>
      </c>
      <c r="I500" s="2">
        <v>1</v>
      </c>
      <c r="J500" s="4" t="s">
        <v>27</v>
      </c>
      <c r="K500" s="2" t="s">
        <v>38</v>
      </c>
      <c r="L500" s="2">
        <v>48</v>
      </c>
      <c r="M500" t="str" cm="1">
        <f t="array" ref="M500">_xlfn.IFS(L500&lt;=35,"YOUNG_ADULTS",L500&lt;=55,"MIDDLE_AGED",L500&gt;55,"OLD-AGED")</f>
        <v>MIDDLE_AGED</v>
      </c>
      <c r="N500" s="2" t="s">
        <v>20</v>
      </c>
      <c r="O500" t="str" cm="1">
        <f t="array" ref="O500">_xlfn.IFS(D500&lt;=50000,"low income",D500&lt;=100000,"Mid income",D500&gt;100000,"High income")</f>
        <v>Mid income</v>
      </c>
      <c r="P500" t="str" cm="1">
        <f t="array" ref="P500">_xlfn.IFS(E500&lt;=2,"&lt;=2",E500&gt;2,"&gt;2")</f>
        <v>&lt;=2</v>
      </c>
    </row>
    <row r="501" spans="1:16">
      <c r="A501" s="2">
        <v>26575</v>
      </c>
      <c r="B501" s="2" t="s">
        <v>28</v>
      </c>
      <c r="C501" s="2" t="s">
        <v>17</v>
      </c>
      <c r="D501" s="6">
        <v>40000</v>
      </c>
      <c r="E501" s="2">
        <v>0</v>
      </c>
      <c r="F501" s="2" t="s">
        <v>33</v>
      </c>
      <c r="G501" s="2" t="s">
        <v>19</v>
      </c>
      <c r="H501" s="2" t="s">
        <v>26</v>
      </c>
      <c r="I501" s="2">
        <v>2</v>
      </c>
      <c r="J501" s="4" t="s">
        <v>32</v>
      </c>
      <c r="K501" s="2" t="s">
        <v>38</v>
      </c>
      <c r="L501" s="2">
        <v>31</v>
      </c>
      <c r="M501" t="str" cm="1">
        <f t="array" ref="M501">_xlfn.IFS(L501&lt;=35,"YOUNG_ADULTS",L501&lt;=55,"MIDDLE_AGED",L501&gt;55,"OLD-AGED")</f>
        <v>YOUNG_ADULTS</v>
      </c>
      <c r="N501" s="2" t="s">
        <v>20</v>
      </c>
      <c r="O501" t="str" cm="1">
        <f t="array" ref="O501">_xlfn.IFS(D501&lt;=50000,"low income",D501&lt;=100000,"Mid income",D501&gt;100000,"High income")</f>
        <v>low income</v>
      </c>
      <c r="P501" t="str" cm="1">
        <f t="array" ref="P501">_xlfn.IFS(E501&lt;=2,"&lt;=2",E501&gt;2,"&gt;2")</f>
        <v>&lt;=2</v>
      </c>
    </row>
    <row r="502" spans="1:16">
      <c r="A502" s="2">
        <v>15559</v>
      </c>
      <c r="B502" s="2" t="s">
        <v>16</v>
      </c>
      <c r="C502" s="2" t="s">
        <v>16</v>
      </c>
      <c r="D502" s="6">
        <v>60000</v>
      </c>
      <c r="E502" s="2">
        <v>5</v>
      </c>
      <c r="F502" s="2" t="s">
        <v>18</v>
      </c>
      <c r="G502" s="2" t="s">
        <v>25</v>
      </c>
      <c r="H502" s="2" t="s">
        <v>20</v>
      </c>
      <c r="I502" s="2">
        <v>1</v>
      </c>
      <c r="J502" s="4" t="s">
        <v>27</v>
      </c>
      <c r="K502" s="2" t="s">
        <v>38</v>
      </c>
      <c r="L502" s="2">
        <v>47</v>
      </c>
      <c r="M502" t="str" cm="1">
        <f t="array" ref="M502">_xlfn.IFS(L502&lt;=35,"YOUNG_ADULTS",L502&lt;=55,"MIDDLE_AGED",L502&gt;55,"OLD-AGED")</f>
        <v>MIDDLE_AGED</v>
      </c>
      <c r="O502" t="str" cm="1">
        <f t="array" ref="O502">_xlfn.IFS(D502&lt;=50000,"low income",D502&lt;=100000,"Mid income",D502&gt;100000,"High income")</f>
        <v>Mid income</v>
      </c>
      <c r="P502" t="str" cm="1">
        <f t="array" ref="P502">_xlfn.IFS(E502&lt;=2,"&lt;=2",E502&gt;2,"&gt;2")</f>
        <v>&gt;2</v>
      </c>
    </row>
    <row r="503" spans="1:16">
      <c r="A503" s="2">
        <v>19235</v>
      </c>
      <c r="B503" s="2" t="s">
        <v>16</v>
      </c>
      <c r="C503" s="2" t="s">
        <v>17</v>
      </c>
      <c r="D503" s="6">
        <v>50000</v>
      </c>
      <c r="E503" s="2">
        <v>0</v>
      </c>
      <c r="F503" s="2" t="s">
        <v>37</v>
      </c>
      <c r="G503" s="2" t="s">
        <v>19</v>
      </c>
      <c r="H503" s="2" t="s">
        <v>20</v>
      </c>
      <c r="I503" s="2">
        <v>0</v>
      </c>
      <c r="J503" s="4" t="s">
        <v>21</v>
      </c>
      <c r="K503" s="2" t="s">
        <v>38</v>
      </c>
      <c r="L503" s="2">
        <v>34</v>
      </c>
      <c r="M503" t="str" cm="1">
        <f t="array" ref="M503">_xlfn.IFS(L503&lt;=35,"YOUNG_ADULTS",L503&lt;=55,"MIDDLE_AGED",L503&gt;55,"OLD-AGED")</f>
        <v>YOUNG_ADULTS</v>
      </c>
      <c r="O503" t="str" cm="1">
        <f t="array" ref="O503">_xlfn.IFS(D503&lt;=50000,"low income",D503&lt;=100000,"Mid income",D503&gt;100000,"High income")</f>
        <v>low income</v>
      </c>
      <c r="P503" t="str" cm="1">
        <f t="array" ref="P503">_xlfn.IFS(E503&lt;=2,"&lt;=2",E503&gt;2,"&gt;2")</f>
        <v>&lt;=2</v>
      </c>
    </row>
    <row r="504" spans="1:16">
      <c r="A504" s="2">
        <v>15275</v>
      </c>
      <c r="B504" s="2" t="s">
        <v>16</v>
      </c>
      <c r="C504" s="2" t="s">
        <v>16</v>
      </c>
      <c r="D504" s="6">
        <v>40000</v>
      </c>
      <c r="E504" s="2">
        <v>0</v>
      </c>
      <c r="F504" s="2" t="s">
        <v>23</v>
      </c>
      <c r="G504" s="2" t="s">
        <v>19</v>
      </c>
      <c r="H504" s="2" t="s">
        <v>20</v>
      </c>
      <c r="I504" s="2">
        <v>1</v>
      </c>
      <c r="J504" s="4" t="s">
        <v>29</v>
      </c>
      <c r="K504" s="2" t="s">
        <v>38</v>
      </c>
      <c r="L504" s="2">
        <v>29</v>
      </c>
      <c r="M504" t="str" cm="1">
        <f t="array" ref="M504">_xlfn.IFS(L504&lt;=35,"YOUNG_ADULTS",L504&lt;=55,"MIDDLE_AGED",L504&gt;55,"OLD-AGED")</f>
        <v>YOUNG_ADULTS</v>
      </c>
      <c r="O504" t="str" cm="1">
        <f t="array" ref="O504">_xlfn.IFS(D504&lt;=50000,"low income",D504&lt;=100000,"Mid income",D504&gt;100000,"High income")</f>
        <v>low income</v>
      </c>
      <c r="P504" t="str" cm="1">
        <f t="array" ref="P504">_xlfn.IFS(E504&lt;=2,"&lt;=2",E504&gt;2,"&gt;2")</f>
        <v>&lt;=2</v>
      </c>
    </row>
    <row r="505" spans="1:16">
      <c r="A505" s="2">
        <v>20339</v>
      </c>
      <c r="B505" s="2" t="s">
        <v>16</v>
      </c>
      <c r="C505" s="2" t="s">
        <v>17</v>
      </c>
      <c r="D505" s="6">
        <v>130000</v>
      </c>
      <c r="E505" s="2">
        <v>1</v>
      </c>
      <c r="F505" s="2" t="s">
        <v>18</v>
      </c>
      <c r="G505" s="2" t="s">
        <v>34</v>
      </c>
      <c r="H505" s="2" t="s">
        <v>20</v>
      </c>
      <c r="I505" s="2">
        <v>4</v>
      </c>
      <c r="J505" s="4" t="s">
        <v>27</v>
      </c>
      <c r="K505" s="2" t="s">
        <v>38</v>
      </c>
      <c r="L505" s="2">
        <v>44</v>
      </c>
      <c r="M505" t="str" cm="1">
        <f t="array" ref="M505">_xlfn.IFS(L505&lt;=35,"YOUNG_ADULTS",L505&lt;=55,"MIDDLE_AGED",L505&gt;55,"OLD-AGED")</f>
        <v>MIDDLE_AGED</v>
      </c>
      <c r="N505" s="2" t="s">
        <v>20</v>
      </c>
      <c r="O505" t="str" cm="1">
        <f t="array" ref="O505">_xlfn.IFS(D505&lt;=50000,"low income",D505&lt;=100000,"Mid income",D505&gt;100000,"High income")</f>
        <v>High income</v>
      </c>
      <c r="P505" t="str" cm="1">
        <f t="array" ref="P505">_xlfn.IFS(E505&lt;=2,"&lt;=2",E505&gt;2,"&gt;2")</f>
        <v>&lt;=2</v>
      </c>
    </row>
    <row r="506" spans="1:16">
      <c r="A506" s="2">
        <v>25405</v>
      </c>
      <c r="B506" s="2" t="s">
        <v>16</v>
      </c>
      <c r="C506" s="2" t="s">
        <v>16</v>
      </c>
      <c r="D506" s="6">
        <v>70000</v>
      </c>
      <c r="E506" s="2">
        <v>2</v>
      </c>
      <c r="F506" s="2" t="s">
        <v>18</v>
      </c>
      <c r="G506" s="2" t="s">
        <v>19</v>
      </c>
      <c r="H506" s="2" t="s">
        <v>20</v>
      </c>
      <c r="I506" s="2">
        <v>1</v>
      </c>
      <c r="J506" s="4" t="s">
        <v>27</v>
      </c>
      <c r="K506" s="2" t="s">
        <v>38</v>
      </c>
      <c r="L506" s="2">
        <v>38</v>
      </c>
      <c r="M506" t="str" cm="1">
        <f t="array" ref="M506">_xlfn.IFS(L506&lt;=35,"YOUNG_ADULTS",L506&lt;=55,"MIDDLE_AGED",L506&gt;55,"OLD-AGED")</f>
        <v>MIDDLE_AGED</v>
      </c>
      <c r="N506" s="2" t="s">
        <v>20</v>
      </c>
      <c r="O506" t="str" cm="1">
        <f t="array" ref="O506">_xlfn.IFS(D506&lt;=50000,"low income",D506&lt;=100000,"Mid income",D506&gt;100000,"High income")</f>
        <v>Mid income</v>
      </c>
      <c r="P506" t="str" cm="1">
        <f t="array" ref="P506">_xlfn.IFS(E506&lt;=2,"&lt;=2",E506&gt;2,"&gt;2")</f>
        <v>&lt;=2</v>
      </c>
    </row>
    <row r="507" spans="1:16">
      <c r="A507" s="2">
        <v>15940</v>
      </c>
      <c r="B507" s="2" t="s">
        <v>16</v>
      </c>
      <c r="C507" s="2" t="s">
        <v>16</v>
      </c>
      <c r="D507" s="6">
        <v>100000</v>
      </c>
      <c r="E507" s="2">
        <v>4</v>
      </c>
      <c r="F507" s="2" t="s">
        <v>23</v>
      </c>
      <c r="G507" s="2" t="s">
        <v>25</v>
      </c>
      <c r="H507" s="2" t="s">
        <v>20</v>
      </c>
      <c r="I507" s="2">
        <v>4</v>
      </c>
      <c r="J507" s="4" t="s">
        <v>21</v>
      </c>
      <c r="K507" s="2" t="s">
        <v>38</v>
      </c>
      <c r="L507" s="2">
        <v>40</v>
      </c>
      <c r="M507" t="str" cm="1">
        <f t="array" ref="M507">_xlfn.IFS(L507&lt;=35,"YOUNG_ADULTS",L507&lt;=55,"MIDDLE_AGED",L507&gt;55,"OLD-AGED")</f>
        <v>MIDDLE_AGED</v>
      </c>
      <c r="O507" t="str" cm="1">
        <f t="array" ref="O507">_xlfn.IFS(D507&lt;=50000,"low income",D507&lt;=100000,"Mid income",D507&gt;100000,"High income")</f>
        <v>Mid income</v>
      </c>
      <c r="P507" t="str" cm="1">
        <f t="array" ref="P507">_xlfn.IFS(E507&lt;=2,"&lt;=2",E507&gt;2,"&gt;2")</f>
        <v>&gt;2</v>
      </c>
    </row>
    <row r="508" spans="1:16">
      <c r="A508" s="2">
        <v>25074</v>
      </c>
      <c r="B508" s="2" t="s">
        <v>16</v>
      </c>
      <c r="C508" s="2" t="s">
        <v>17</v>
      </c>
      <c r="D508" s="6">
        <v>70000</v>
      </c>
      <c r="E508" s="2">
        <v>4</v>
      </c>
      <c r="F508" s="2" t="s">
        <v>18</v>
      </c>
      <c r="G508" s="2" t="s">
        <v>25</v>
      </c>
      <c r="H508" s="2" t="s">
        <v>20</v>
      </c>
      <c r="I508" s="2">
        <v>2</v>
      </c>
      <c r="J508" s="4" t="s">
        <v>27</v>
      </c>
      <c r="K508" s="2" t="s">
        <v>38</v>
      </c>
      <c r="L508" s="2">
        <v>42</v>
      </c>
      <c r="M508" t="str" cm="1">
        <f t="array" ref="M508">_xlfn.IFS(L508&lt;=35,"YOUNG_ADULTS",L508&lt;=55,"MIDDLE_AGED",L508&gt;55,"OLD-AGED")</f>
        <v>MIDDLE_AGED</v>
      </c>
      <c r="N508" s="2" t="s">
        <v>20</v>
      </c>
      <c r="O508" t="str" cm="1">
        <f t="array" ref="O508">_xlfn.IFS(D508&lt;=50000,"low income",D508&lt;=100000,"Mid income",D508&gt;100000,"High income")</f>
        <v>Mid income</v>
      </c>
      <c r="P508" t="str" cm="1">
        <f t="array" ref="P508">_xlfn.IFS(E508&lt;=2,"&lt;=2",E508&gt;2,"&gt;2")</f>
        <v>&gt;2</v>
      </c>
    </row>
    <row r="509" spans="1:16">
      <c r="A509" s="2">
        <v>24738</v>
      </c>
      <c r="B509" s="2" t="s">
        <v>16</v>
      </c>
      <c r="C509" s="2" t="s">
        <v>17</v>
      </c>
      <c r="D509" s="6">
        <v>40000</v>
      </c>
      <c r="E509" s="2">
        <v>1</v>
      </c>
      <c r="F509" s="2" t="s">
        <v>23</v>
      </c>
      <c r="G509" s="2" t="s">
        <v>24</v>
      </c>
      <c r="H509" s="2" t="s">
        <v>20</v>
      </c>
      <c r="I509" s="2">
        <v>1</v>
      </c>
      <c r="J509" s="4" t="s">
        <v>32</v>
      </c>
      <c r="K509" s="2" t="s">
        <v>38</v>
      </c>
      <c r="L509" s="2">
        <v>51</v>
      </c>
      <c r="M509" t="str" cm="1">
        <f t="array" ref="M509">_xlfn.IFS(L509&lt;=35,"YOUNG_ADULTS",L509&lt;=55,"MIDDLE_AGED",L509&gt;55,"OLD-AGED")</f>
        <v>MIDDLE_AGED</v>
      </c>
      <c r="N509" s="2" t="s">
        <v>20</v>
      </c>
      <c r="O509" t="str" cm="1">
        <f t="array" ref="O509">_xlfn.IFS(D509&lt;=50000,"low income",D509&lt;=100000,"Mid income",D509&gt;100000,"High income")</f>
        <v>low income</v>
      </c>
      <c r="P509" t="str" cm="1">
        <f t="array" ref="P509">_xlfn.IFS(E509&lt;=2,"&lt;=2",E509&gt;2,"&gt;2")</f>
        <v>&lt;=2</v>
      </c>
    </row>
    <row r="510" spans="1:16">
      <c r="A510" s="2">
        <v>16337</v>
      </c>
      <c r="B510" s="2" t="s">
        <v>16</v>
      </c>
      <c r="C510" s="2" t="s">
        <v>16</v>
      </c>
      <c r="D510" s="6">
        <v>60000</v>
      </c>
      <c r="E510" s="2">
        <v>0</v>
      </c>
      <c r="F510" s="2" t="s">
        <v>23</v>
      </c>
      <c r="G510" s="2" t="s">
        <v>19</v>
      </c>
      <c r="H510" s="2" t="s">
        <v>26</v>
      </c>
      <c r="I510" s="2">
        <v>2</v>
      </c>
      <c r="J510" s="4" t="s">
        <v>32</v>
      </c>
      <c r="K510" s="2" t="s">
        <v>38</v>
      </c>
      <c r="L510" s="2">
        <v>29</v>
      </c>
      <c r="M510" t="str" cm="1">
        <f t="array" ref="M510">_xlfn.IFS(L510&lt;=35,"YOUNG_ADULTS",L510&lt;=55,"MIDDLE_AGED",L510&gt;55,"OLD-AGED")</f>
        <v>YOUNG_ADULTS</v>
      </c>
      <c r="O510" t="str" cm="1">
        <f t="array" ref="O510">_xlfn.IFS(D510&lt;=50000,"low income",D510&lt;=100000,"Mid income",D510&gt;100000,"High income")</f>
        <v>Mid income</v>
      </c>
      <c r="P510" t="str" cm="1">
        <f t="array" ref="P510">_xlfn.IFS(E510&lt;=2,"&lt;=2",E510&gt;2,"&gt;2")</f>
        <v>&lt;=2</v>
      </c>
    </row>
    <row r="511" spans="1:16">
      <c r="A511" s="2">
        <v>24357</v>
      </c>
      <c r="B511" s="2" t="s">
        <v>16</v>
      </c>
      <c r="C511" s="2" t="s">
        <v>16</v>
      </c>
      <c r="D511" s="6">
        <v>80000</v>
      </c>
      <c r="E511" s="2">
        <v>3</v>
      </c>
      <c r="F511" s="2" t="s">
        <v>18</v>
      </c>
      <c r="G511" s="2" t="s">
        <v>25</v>
      </c>
      <c r="H511" s="2" t="s">
        <v>20</v>
      </c>
      <c r="I511" s="2">
        <v>1</v>
      </c>
      <c r="J511" s="4" t="s">
        <v>27</v>
      </c>
      <c r="K511" s="2" t="s">
        <v>38</v>
      </c>
      <c r="L511" s="2">
        <v>48</v>
      </c>
      <c r="M511" t="str" cm="1">
        <f t="array" ref="M511">_xlfn.IFS(L511&lt;=35,"YOUNG_ADULTS",L511&lt;=55,"MIDDLE_AGED",L511&gt;55,"OLD-AGED")</f>
        <v>MIDDLE_AGED</v>
      </c>
      <c r="N511" s="2" t="s">
        <v>20</v>
      </c>
      <c r="O511" t="str" cm="1">
        <f t="array" ref="O511">_xlfn.IFS(D511&lt;=50000,"low income",D511&lt;=100000,"Mid income",D511&gt;100000,"High income")</f>
        <v>Mid income</v>
      </c>
      <c r="P511" t="str" cm="1">
        <f t="array" ref="P511">_xlfn.IFS(E511&lt;=2,"&lt;=2",E511&gt;2,"&gt;2")</f>
        <v>&gt;2</v>
      </c>
    </row>
    <row r="512" spans="1:16">
      <c r="A512" s="2">
        <v>18613</v>
      </c>
      <c r="B512" s="2" t="s">
        <v>28</v>
      </c>
      <c r="C512" s="2" t="s">
        <v>16</v>
      </c>
      <c r="D512" s="6">
        <v>70000</v>
      </c>
      <c r="E512" s="2">
        <v>0</v>
      </c>
      <c r="F512" s="2" t="s">
        <v>18</v>
      </c>
      <c r="G512" s="2" t="s">
        <v>25</v>
      </c>
      <c r="H512" s="2" t="s">
        <v>26</v>
      </c>
      <c r="I512" s="2">
        <v>1</v>
      </c>
      <c r="J512" s="4" t="s">
        <v>27</v>
      </c>
      <c r="K512" s="2" t="s">
        <v>38</v>
      </c>
      <c r="L512" s="2">
        <v>37</v>
      </c>
      <c r="M512" t="str" cm="1">
        <f t="array" ref="M512">_xlfn.IFS(L512&lt;=35,"YOUNG_ADULTS",L512&lt;=55,"MIDDLE_AGED",L512&gt;55,"OLD-AGED")</f>
        <v>MIDDLE_AGED</v>
      </c>
      <c r="N512" s="2" t="s">
        <v>20</v>
      </c>
      <c r="O512" t="str" cm="1">
        <f t="array" ref="O512">_xlfn.IFS(D512&lt;=50000,"low income",D512&lt;=100000,"Mid income",D512&gt;100000,"High income")</f>
        <v>Mid income</v>
      </c>
      <c r="P512" t="str" cm="1">
        <f t="array" ref="P512">_xlfn.IFS(E512&lt;=2,"&lt;=2",E512&gt;2,"&gt;2")</f>
        <v>&lt;=2</v>
      </c>
    </row>
    <row r="513" spans="1:16">
      <c r="A513" s="2">
        <v>12207</v>
      </c>
      <c r="B513" s="2" t="s">
        <v>28</v>
      </c>
      <c r="C513" s="2" t="s">
        <v>16</v>
      </c>
      <c r="D513" s="6">
        <v>80000</v>
      </c>
      <c r="E513" s="2">
        <v>4</v>
      </c>
      <c r="F513" s="2" t="s">
        <v>18</v>
      </c>
      <c r="G513" s="2" t="s">
        <v>34</v>
      </c>
      <c r="H513" s="2" t="s">
        <v>20</v>
      </c>
      <c r="I513" s="2">
        <v>0</v>
      </c>
      <c r="J513" s="4" t="s">
        <v>29</v>
      </c>
      <c r="K513" s="2" t="s">
        <v>38</v>
      </c>
      <c r="L513" s="2">
        <v>66</v>
      </c>
      <c r="M513" t="str" cm="1">
        <f t="array" ref="M513">_xlfn.IFS(L513&lt;=35,"YOUNG_ADULTS",L513&lt;=55,"MIDDLE_AGED",L513&gt;55,"OLD-AGED")</f>
        <v>OLD-AGED</v>
      </c>
      <c r="N513" s="2" t="s">
        <v>20</v>
      </c>
      <c r="O513" t="str" cm="1">
        <f t="array" ref="O513">_xlfn.IFS(D513&lt;=50000,"low income",D513&lt;=100000,"Mid income",D513&gt;100000,"High income")</f>
        <v>Mid income</v>
      </c>
      <c r="P513" t="str" cm="1">
        <f t="array" ref="P513">_xlfn.IFS(E513&lt;=2,"&lt;=2",E513&gt;2,"&gt;2")</f>
        <v>&gt;2</v>
      </c>
    </row>
    <row r="514" spans="1:16">
      <c r="A514" s="2">
        <v>18052</v>
      </c>
      <c r="B514" s="2" t="s">
        <v>16</v>
      </c>
      <c r="C514" s="2" t="s">
        <v>17</v>
      </c>
      <c r="D514" s="6">
        <v>60000</v>
      </c>
      <c r="E514" s="2">
        <v>1</v>
      </c>
      <c r="F514" s="2" t="s">
        <v>23</v>
      </c>
      <c r="G514" s="2" t="s">
        <v>19</v>
      </c>
      <c r="H514" s="2" t="s">
        <v>20</v>
      </c>
      <c r="I514" s="2">
        <v>1</v>
      </c>
      <c r="J514" s="4" t="s">
        <v>21</v>
      </c>
      <c r="K514" s="2" t="s">
        <v>38</v>
      </c>
      <c r="L514" s="2">
        <v>45</v>
      </c>
      <c r="M514" t="str" cm="1">
        <f t="array" ref="M514">_xlfn.IFS(L514&lt;=35,"YOUNG_ADULTS",L514&lt;=55,"MIDDLE_AGED",L514&gt;55,"OLD-AGED")</f>
        <v>MIDDLE_AGED</v>
      </c>
      <c r="N514" s="2" t="s">
        <v>20</v>
      </c>
      <c r="O514" t="str" cm="1">
        <f t="array" ref="O514">_xlfn.IFS(D514&lt;=50000,"low income",D514&lt;=100000,"Mid income",D514&gt;100000,"High income")</f>
        <v>Mid income</v>
      </c>
      <c r="P514" t="str" cm="1">
        <f t="array" ref="P514">_xlfn.IFS(E514&lt;=2,"&lt;=2",E514&gt;2,"&gt;2")</f>
        <v>&lt;=2</v>
      </c>
    </row>
    <row r="515" spans="1:16">
      <c r="A515" s="2">
        <v>13353</v>
      </c>
      <c r="B515" s="2" t="s">
        <v>28</v>
      </c>
      <c r="C515" s="2" t="s">
        <v>17</v>
      </c>
      <c r="D515" s="6">
        <v>60000</v>
      </c>
      <c r="E515" s="2">
        <v>4</v>
      </c>
      <c r="F515" s="2" t="s">
        <v>37</v>
      </c>
      <c r="G515" s="2" t="s">
        <v>34</v>
      </c>
      <c r="H515" s="2" t="s">
        <v>20</v>
      </c>
      <c r="I515" s="2">
        <v>2</v>
      </c>
      <c r="J515" s="4" t="s">
        <v>36</v>
      </c>
      <c r="K515" s="2" t="s">
        <v>38</v>
      </c>
      <c r="L515" s="2">
        <v>61</v>
      </c>
      <c r="M515" t="str" cm="1">
        <f t="array" ref="M515">_xlfn.IFS(L515&lt;=35,"YOUNG_ADULTS",L515&lt;=55,"MIDDLE_AGED",L515&gt;55,"OLD-AGED")</f>
        <v>OLD-AGED</v>
      </c>
      <c r="N515" s="2" t="s">
        <v>20</v>
      </c>
      <c r="O515" t="str" cm="1">
        <f t="array" ref="O515">_xlfn.IFS(D515&lt;=50000,"low income",D515&lt;=100000,"Mid income",D515&gt;100000,"High income")</f>
        <v>Mid income</v>
      </c>
      <c r="P515" t="str" cm="1">
        <f t="array" ref="P515">_xlfn.IFS(E515&lt;=2,"&lt;=2",E515&gt;2,"&gt;2")</f>
        <v>&gt;2</v>
      </c>
    </row>
    <row r="516" spans="1:16">
      <c r="A516" s="2">
        <v>19399</v>
      </c>
      <c r="B516" s="2" t="s">
        <v>28</v>
      </c>
      <c r="C516" s="2" t="s">
        <v>16</v>
      </c>
      <c r="D516" s="6">
        <v>40000</v>
      </c>
      <c r="E516" s="2">
        <v>0</v>
      </c>
      <c r="F516" s="2" t="s">
        <v>18</v>
      </c>
      <c r="G516" s="2" t="s">
        <v>25</v>
      </c>
      <c r="H516" s="2" t="s">
        <v>26</v>
      </c>
      <c r="I516" s="2">
        <v>1</v>
      </c>
      <c r="J516" s="4" t="s">
        <v>27</v>
      </c>
      <c r="K516" s="2" t="s">
        <v>38</v>
      </c>
      <c r="L516" s="2">
        <v>45</v>
      </c>
      <c r="M516" t="str" cm="1">
        <f t="array" ref="M516">_xlfn.IFS(L516&lt;=35,"YOUNG_ADULTS",L516&lt;=55,"MIDDLE_AGED",L516&gt;55,"OLD-AGED")</f>
        <v>MIDDLE_AGED</v>
      </c>
      <c r="O516" t="str" cm="1">
        <f t="array" ref="O516">_xlfn.IFS(D516&lt;=50000,"low income",D516&lt;=100000,"Mid income",D516&gt;100000,"High income")</f>
        <v>low income</v>
      </c>
      <c r="P516" t="str" cm="1">
        <f t="array" ref="P516">_xlfn.IFS(E516&lt;=2,"&lt;=2",E516&gt;2,"&gt;2")</f>
        <v>&lt;=2</v>
      </c>
    </row>
    <row r="517" spans="1:16">
      <c r="A517" s="2">
        <v>16154</v>
      </c>
      <c r="B517" s="2" t="s">
        <v>16</v>
      </c>
      <c r="C517" s="2" t="s">
        <v>17</v>
      </c>
      <c r="D517" s="6">
        <v>70000</v>
      </c>
      <c r="E517" s="2">
        <v>5</v>
      </c>
      <c r="F517" s="2" t="s">
        <v>18</v>
      </c>
      <c r="G517" s="2" t="s">
        <v>25</v>
      </c>
      <c r="H517" s="2" t="s">
        <v>20</v>
      </c>
      <c r="I517" s="2">
        <v>2</v>
      </c>
      <c r="J517" s="4" t="s">
        <v>27</v>
      </c>
      <c r="K517" s="2" t="s">
        <v>38</v>
      </c>
      <c r="L517" s="2">
        <v>47</v>
      </c>
      <c r="M517" t="str" cm="1">
        <f t="array" ref="M517">_xlfn.IFS(L517&lt;=35,"YOUNG_ADULTS",L517&lt;=55,"MIDDLE_AGED",L517&gt;55,"OLD-AGED")</f>
        <v>MIDDLE_AGED</v>
      </c>
      <c r="O517" t="str" cm="1">
        <f t="array" ref="O517">_xlfn.IFS(D517&lt;=50000,"low income",D517&lt;=100000,"Mid income",D517&gt;100000,"High income")</f>
        <v>Mid income</v>
      </c>
      <c r="P517" t="str" cm="1">
        <f t="array" ref="P517">_xlfn.IFS(E517&lt;=2,"&lt;=2",E517&gt;2,"&gt;2")</f>
        <v>&gt;2</v>
      </c>
    </row>
    <row r="518" spans="1:16">
      <c r="A518" s="2">
        <v>22219</v>
      </c>
      <c r="B518" s="2" t="s">
        <v>16</v>
      </c>
      <c r="C518" s="2" t="s">
        <v>17</v>
      </c>
      <c r="D518" s="6">
        <v>60000</v>
      </c>
      <c r="E518" s="2">
        <v>2</v>
      </c>
      <c r="F518" s="2" t="s">
        <v>33</v>
      </c>
      <c r="G518" s="2" t="s">
        <v>25</v>
      </c>
      <c r="H518" s="2" t="s">
        <v>20</v>
      </c>
      <c r="I518" s="2">
        <v>2</v>
      </c>
      <c r="J518" s="4" t="s">
        <v>29</v>
      </c>
      <c r="K518" s="2" t="s">
        <v>38</v>
      </c>
      <c r="L518" s="2">
        <v>49</v>
      </c>
      <c r="M518" t="str" cm="1">
        <f t="array" ref="M518">_xlfn.IFS(L518&lt;=35,"YOUNG_ADULTS",L518&lt;=55,"MIDDLE_AGED",L518&gt;55,"OLD-AGED")</f>
        <v>MIDDLE_AGED</v>
      </c>
      <c r="O518" t="str" cm="1">
        <f t="array" ref="O518">_xlfn.IFS(D518&lt;=50000,"low income",D518&lt;=100000,"Mid income",D518&gt;100000,"High income")</f>
        <v>Mid income</v>
      </c>
      <c r="P518" t="str" cm="1">
        <f t="array" ref="P518">_xlfn.IFS(E518&lt;=2,"&lt;=2",E518&gt;2,"&gt;2")</f>
        <v>&lt;=2</v>
      </c>
    </row>
    <row r="519" spans="1:16">
      <c r="A519" s="2">
        <v>17269</v>
      </c>
      <c r="B519" s="2" t="s">
        <v>28</v>
      </c>
      <c r="C519" s="2" t="s">
        <v>16</v>
      </c>
      <c r="D519" s="6">
        <v>60000</v>
      </c>
      <c r="E519" s="2">
        <v>3</v>
      </c>
      <c r="F519" s="2" t="s">
        <v>18</v>
      </c>
      <c r="G519" s="2" t="s">
        <v>25</v>
      </c>
      <c r="H519" s="2" t="s">
        <v>26</v>
      </c>
      <c r="I519" s="2">
        <v>0</v>
      </c>
      <c r="J519" s="4" t="s">
        <v>21</v>
      </c>
      <c r="K519" s="2" t="s">
        <v>38</v>
      </c>
      <c r="L519" s="2">
        <v>47</v>
      </c>
      <c r="M519" t="str" cm="1">
        <f t="array" ref="M519">_xlfn.IFS(L519&lt;=35,"YOUNG_ADULTS",L519&lt;=55,"MIDDLE_AGED",L519&gt;55,"OLD-AGED")</f>
        <v>MIDDLE_AGED</v>
      </c>
      <c r="N519" s="2" t="s">
        <v>20</v>
      </c>
      <c r="O519" t="str" cm="1">
        <f t="array" ref="O519">_xlfn.IFS(D519&lt;=50000,"low income",D519&lt;=100000,"Mid income",D519&gt;100000,"High income")</f>
        <v>Mid income</v>
      </c>
      <c r="P519" t="str" cm="1">
        <f t="array" ref="P519">_xlfn.IFS(E519&lt;=2,"&lt;=2",E519&gt;2,"&gt;2")</f>
        <v>&gt;2</v>
      </c>
    </row>
    <row r="520" spans="1:16">
      <c r="A520" s="2">
        <v>23586</v>
      </c>
      <c r="B520" s="2" t="s">
        <v>16</v>
      </c>
      <c r="C520" s="2" t="s">
        <v>17</v>
      </c>
      <c r="D520" s="6">
        <v>80000</v>
      </c>
      <c r="E520" s="2">
        <v>0</v>
      </c>
      <c r="F520" s="2" t="s">
        <v>18</v>
      </c>
      <c r="G520" s="2" t="s">
        <v>34</v>
      </c>
      <c r="H520" s="2" t="s">
        <v>20</v>
      </c>
      <c r="I520" s="2">
        <v>1</v>
      </c>
      <c r="J520" s="4" t="s">
        <v>32</v>
      </c>
      <c r="K520" s="2" t="s">
        <v>38</v>
      </c>
      <c r="L520" s="2">
        <v>34</v>
      </c>
      <c r="M520" t="str" cm="1">
        <f t="array" ref="M520">_xlfn.IFS(L520&lt;=35,"YOUNG_ADULTS",L520&lt;=55,"MIDDLE_AGED",L520&gt;55,"OLD-AGED")</f>
        <v>YOUNG_ADULTS</v>
      </c>
      <c r="N520" s="2" t="s">
        <v>20</v>
      </c>
      <c r="O520" t="str" cm="1">
        <f t="array" ref="O520">_xlfn.IFS(D520&lt;=50000,"low income",D520&lt;=100000,"Mid income",D520&gt;100000,"High income")</f>
        <v>Mid income</v>
      </c>
      <c r="P520" t="str" cm="1">
        <f t="array" ref="P520">_xlfn.IFS(E520&lt;=2,"&lt;=2",E520&gt;2,"&gt;2")</f>
        <v>&lt;=2</v>
      </c>
    </row>
    <row r="521" spans="1:16">
      <c r="A521" s="2">
        <v>15740</v>
      </c>
      <c r="B521" s="2" t="s">
        <v>16</v>
      </c>
      <c r="C521" s="2" t="s">
        <v>16</v>
      </c>
      <c r="D521" s="6">
        <v>80000</v>
      </c>
      <c r="E521" s="2">
        <v>5</v>
      </c>
      <c r="F521" s="2" t="s">
        <v>18</v>
      </c>
      <c r="G521" s="2" t="s">
        <v>34</v>
      </c>
      <c r="H521" s="2" t="s">
        <v>20</v>
      </c>
      <c r="I521" s="2">
        <v>2</v>
      </c>
      <c r="J521" s="4" t="s">
        <v>32</v>
      </c>
      <c r="K521" s="2" t="s">
        <v>38</v>
      </c>
      <c r="L521" s="2">
        <v>64</v>
      </c>
      <c r="M521" t="str" cm="1">
        <f t="array" ref="M521">_xlfn.IFS(L521&lt;=35,"YOUNG_ADULTS",L521&lt;=55,"MIDDLE_AGED",L521&gt;55,"OLD-AGED")</f>
        <v>OLD-AGED</v>
      </c>
      <c r="O521" t="str" cm="1">
        <f t="array" ref="O521">_xlfn.IFS(D521&lt;=50000,"low income",D521&lt;=100000,"Mid income",D521&gt;100000,"High income")</f>
        <v>Mid income</v>
      </c>
      <c r="P521" t="str" cm="1">
        <f t="array" ref="P521">_xlfn.IFS(E521&lt;=2,"&lt;=2",E521&gt;2,"&gt;2")</f>
        <v>&gt;2</v>
      </c>
    </row>
    <row r="522" spans="1:16">
      <c r="A522" s="2">
        <v>27638</v>
      </c>
      <c r="B522" s="2" t="s">
        <v>28</v>
      </c>
      <c r="C522" s="2" t="s">
        <v>16</v>
      </c>
      <c r="D522" s="6">
        <v>100000</v>
      </c>
      <c r="E522" s="2">
        <v>1</v>
      </c>
      <c r="F522" s="2" t="s">
        <v>23</v>
      </c>
      <c r="G522" s="2" t="s">
        <v>25</v>
      </c>
      <c r="H522" s="2" t="s">
        <v>26</v>
      </c>
      <c r="I522" s="2">
        <v>3</v>
      </c>
      <c r="J522" s="4" t="s">
        <v>32</v>
      </c>
      <c r="K522" s="2" t="s">
        <v>38</v>
      </c>
      <c r="L522" s="2">
        <v>44</v>
      </c>
      <c r="M522" t="str" cm="1">
        <f t="array" ref="M522">_xlfn.IFS(L522&lt;=35,"YOUNG_ADULTS",L522&lt;=55,"MIDDLE_AGED",L522&gt;55,"OLD-AGED")</f>
        <v>MIDDLE_AGED</v>
      </c>
      <c r="O522" t="str" cm="1">
        <f t="array" ref="O522">_xlfn.IFS(D522&lt;=50000,"low income",D522&lt;=100000,"Mid income",D522&gt;100000,"High income")</f>
        <v>Mid income</v>
      </c>
      <c r="P522" t="str" cm="1">
        <f t="array" ref="P522">_xlfn.IFS(E522&lt;=2,"&lt;=2",E522&gt;2,"&gt;2")</f>
        <v>&lt;=2</v>
      </c>
    </row>
    <row r="523" spans="1:16">
      <c r="A523" s="2">
        <v>18976</v>
      </c>
      <c r="B523" s="2" t="s">
        <v>28</v>
      </c>
      <c r="C523" s="2" t="s">
        <v>16</v>
      </c>
      <c r="D523" s="6">
        <v>40000</v>
      </c>
      <c r="E523" s="2">
        <v>4</v>
      </c>
      <c r="F523" s="2" t="s">
        <v>33</v>
      </c>
      <c r="G523" s="2" t="s">
        <v>25</v>
      </c>
      <c r="H523" s="2" t="s">
        <v>20</v>
      </c>
      <c r="I523" s="2">
        <v>2</v>
      </c>
      <c r="J523" s="4" t="s">
        <v>36</v>
      </c>
      <c r="K523" s="2" t="s">
        <v>38</v>
      </c>
      <c r="L523" s="2">
        <v>62</v>
      </c>
      <c r="M523" t="str" cm="1">
        <f t="array" ref="M523">_xlfn.IFS(L523&lt;=35,"YOUNG_ADULTS",L523&lt;=55,"MIDDLE_AGED",L523&gt;55,"OLD-AGED")</f>
        <v>OLD-AGED</v>
      </c>
      <c r="N523" s="2" t="s">
        <v>20</v>
      </c>
      <c r="O523" t="str" cm="1">
        <f t="array" ref="O523">_xlfn.IFS(D523&lt;=50000,"low income",D523&lt;=100000,"Mid income",D523&gt;100000,"High income")</f>
        <v>low income</v>
      </c>
      <c r="P523" t="str" cm="1">
        <f t="array" ref="P523">_xlfn.IFS(E523&lt;=2,"&lt;=2",E523&gt;2,"&gt;2")</f>
        <v>&gt;2</v>
      </c>
    </row>
    <row r="524" spans="1:16">
      <c r="A524" s="2">
        <v>19413</v>
      </c>
      <c r="B524" s="2" t="s">
        <v>28</v>
      </c>
      <c r="C524" s="2" t="s">
        <v>16</v>
      </c>
      <c r="D524" s="6">
        <v>60000</v>
      </c>
      <c r="E524" s="2">
        <v>3</v>
      </c>
      <c r="F524" s="2" t="s">
        <v>18</v>
      </c>
      <c r="G524" s="2" t="s">
        <v>25</v>
      </c>
      <c r="H524" s="2" t="s">
        <v>26</v>
      </c>
      <c r="I524" s="2">
        <v>1</v>
      </c>
      <c r="J524" s="4" t="s">
        <v>21</v>
      </c>
      <c r="K524" s="2" t="s">
        <v>38</v>
      </c>
      <c r="L524" s="2">
        <v>47</v>
      </c>
      <c r="M524" t="str" cm="1">
        <f t="array" ref="M524">_xlfn.IFS(L524&lt;=35,"YOUNG_ADULTS",L524&lt;=55,"MIDDLE_AGED",L524&gt;55,"OLD-AGED")</f>
        <v>MIDDLE_AGED</v>
      </c>
      <c r="N524" s="2" t="s">
        <v>20</v>
      </c>
      <c r="O524" t="str" cm="1">
        <f t="array" ref="O524">_xlfn.IFS(D524&lt;=50000,"low income",D524&lt;=100000,"Mid income",D524&gt;100000,"High income")</f>
        <v>Mid income</v>
      </c>
      <c r="P524" t="str" cm="1">
        <f t="array" ref="P524">_xlfn.IFS(E524&lt;=2,"&lt;=2",E524&gt;2,"&gt;2")</f>
        <v>&gt;2</v>
      </c>
    </row>
    <row r="525" spans="1:16">
      <c r="A525" s="2">
        <v>13283</v>
      </c>
      <c r="B525" s="2" t="s">
        <v>16</v>
      </c>
      <c r="C525" s="2" t="s">
        <v>16</v>
      </c>
      <c r="D525" s="6">
        <v>80000</v>
      </c>
      <c r="E525" s="2">
        <v>3</v>
      </c>
      <c r="F525" s="2" t="s">
        <v>23</v>
      </c>
      <c r="G525" s="2" t="s">
        <v>25</v>
      </c>
      <c r="H525" s="2" t="s">
        <v>26</v>
      </c>
      <c r="I525" s="2">
        <v>2</v>
      </c>
      <c r="J525" s="4" t="s">
        <v>21</v>
      </c>
      <c r="K525" s="2" t="s">
        <v>38</v>
      </c>
      <c r="L525" s="2">
        <v>49</v>
      </c>
      <c r="M525" t="str" cm="1">
        <f t="array" ref="M525">_xlfn.IFS(L525&lt;=35,"YOUNG_ADULTS",L525&lt;=55,"MIDDLE_AGED",L525&gt;55,"OLD-AGED")</f>
        <v>MIDDLE_AGED</v>
      </c>
      <c r="N525" s="2" t="s">
        <v>20</v>
      </c>
      <c r="O525" t="str" cm="1">
        <f t="array" ref="O525">_xlfn.IFS(D525&lt;=50000,"low income",D525&lt;=100000,"Mid income",D525&gt;100000,"High income")</f>
        <v>Mid income</v>
      </c>
      <c r="P525" t="str" cm="1">
        <f t="array" ref="P525">_xlfn.IFS(E525&lt;=2,"&lt;=2",E525&gt;2,"&gt;2")</f>
        <v>&gt;2</v>
      </c>
    </row>
    <row r="526" spans="1:16">
      <c r="A526" s="2">
        <v>17471</v>
      </c>
      <c r="B526" s="2" t="s">
        <v>28</v>
      </c>
      <c r="C526" s="2" t="s">
        <v>17</v>
      </c>
      <c r="D526" s="6">
        <v>80000</v>
      </c>
      <c r="E526" s="2">
        <v>4</v>
      </c>
      <c r="F526" s="2" t="s">
        <v>37</v>
      </c>
      <c r="G526" s="2" t="s">
        <v>34</v>
      </c>
      <c r="H526" s="2" t="s">
        <v>20</v>
      </c>
      <c r="I526" s="2">
        <v>2</v>
      </c>
      <c r="J526" s="4" t="s">
        <v>29</v>
      </c>
      <c r="K526" s="2" t="s">
        <v>38</v>
      </c>
      <c r="L526" s="2">
        <v>67</v>
      </c>
      <c r="M526" t="str" cm="1">
        <f t="array" ref="M526">_xlfn.IFS(L526&lt;=35,"YOUNG_ADULTS",L526&lt;=55,"MIDDLE_AGED",L526&gt;55,"OLD-AGED")</f>
        <v>OLD-AGED</v>
      </c>
      <c r="O526" t="str" cm="1">
        <f t="array" ref="O526">_xlfn.IFS(D526&lt;=50000,"low income",D526&lt;=100000,"Mid income",D526&gt;100000,"High income")</f>
        <v>Mid income</v>
      </c>
      <c r="P526" t="str" cm="1">
        <f t="array" ref="P526">_xlfn.IFS(E526&lt;=2,"&lt;=2",E526&gt;2,"&gt;2")</f>
        <v>&gt;2</v>
      </c>
    </row>
    <row r="527" spans="1:16">
      <c r="A527" s="2">
        <v>16791</v>
      </c>
      <c r="B527" s="2" t="s">
        <v>28</v>
      </c>
      <c r="C527" s="2" t="s">
        <v>16</v>
      </c>
      <c r="D527" s="6">
        <v>60000</v>
      </c>
      <c r="E527" s="2">
        <v>5</v>
      </c>
      <c r="F527" s="2" t="s">
        <v>18</v>
      </c>
      <c r="G527" s="2" t="s">
        <v>34</v>
      </c>
      <c r="H527" s="2" t="s">
        <v>20</v>
      </c>
      <c r="I527" s="2">
        <v>3</v>
      </c>
      <c r="J527" s="4" t="s">
        <v>36</v>
      </c>
      <c r="K527" s="2" t="s">
        <v>38</v>
      </c>
      <c r="L527" s="2">
        <v>59</v>
      </c>
      <c r="M527" t="str" cm="1">
        <f t="array" ref="M527">_xlfn.IFS(L527&lt;=35,"YOUNG_ADULTS",L527&lt;=55,"MIDDLE_AGED",L527&gt;55,"OLD-AGED")</f>
        <v>OLD-AGED</v>
      </c>
      <c r="N527" s="2" t="s">
        <v>20</v>
      </c>
      <c r="O527" t="str" cm="1">
        <f t="array" ref="O527">_xlfn.IFS(D527&lt;=50000,"low income",D527&lt;=100000,"Mid income",D527&gt;100000,"High income")</f>
        <v>Mid income</v>
      </c>
      <c r="P527" t="str" cm="1">
        <f t="array" ref="P527">_xlfn.IFS(E527&lt;=2,"&lt;=2",E527&gt;2,"&gt;2")</f>
        <v>&gt;2</v>
      </c>
    </row>
    <row r="528" spans="1:16">
      <c r="A528" s="2">
        <v>15382</v>
      </c>
      <c r="B528" s="2" t="s">
        <v>16</v>
      </c>
      <c r="C528" s="2" t="s">
        <v>17</v>
      </c>
      <c r="D528" s="6">
        <v>110000</v>
      </c>
      <c r="E528" s="2">
        <v>1</v>
      </c>
      <c r="F528" s="2" t="s">
        <v>18</v>
      </c>
      <c r="G528" s="2" t="s">
        <v>34</v>
      </c>
      <c r="H528" s="2" t="s">
        <v>20</v>
      </c>
      <c r="I528" s="2">
        <v>2</v>
      </c>
      <c r="J528" s="4" t="s">
        <v>32</v>
      </c>
      <c r="K528" s="2" t="s">
        <v>38</v>
      </c>
      <c r="L528" s="2">
        <v>44</v>
      </c>
      <c r="M528" t="str" cm="1">
        <f t="array" ref="M528">_xlfn.IFS(L528&lt;=35,"YOUNG_ADULTS",L528&lt;=55,"MIDDLE_AGED",L528&gt;55,"OLD-AGED")</f>
        <v>MIDDLE_AGED</v>
      </c>
      <c r="O528" t="str" cm="1">
        <f t="array" ref="O528">_xlfn.IFS(D528&lt;=50000,"low income",D528&lt;=100000,"Mid income",D528&gt;100000,"High income")</f>
        <v>High income</v>
      </c>
      <c r="P528" t="str" cm="1">
        <f t="array" ref="P528">_xlfn.IFS(E528&lt;=2,"&lt;=2",E528&gt;2,"&gt;2")</f>
        <v>&lt;=2</v>
      </c>
    </row>
    <row r="529" spans="1:16">
      <c r="A529" s="2">
        <v>11641</v>
      </c>
      <c r="B529" s="2" t="s">
        <v>16</v>
      </c>
      <c r="C529" s="2" t="s">
        <v>16</v>
      </c>
      <c r="D529" s="6">
        <v>50000</v>
      </c>
      <c r="E529" s="2">
        <v>1</v>
      </c>
      <c r="F529" s="2" t="s">
        <v>18</v>
      </c>
      <c r="G529" s="2" t="s">
        <v>19</v>
      </c>
      <c r="H529" s="2" t="s">
        <v>20</v>
      </c>
      <c r="I529" s="2">
        <v>0</v>
      </c>
      <c r="J529" s="4" t="s">
        <v>21</v>
      </c>
      <c r="K529" s="2" t="s">
        <v>38</v>
      </c>
      <c r="L529" s="2">
        <v>36</v>
      </c>
      <c r="M529" t="str" cm="1">
        <f t="array" ref="M529">_xlfn.IFS(L529&lt;=35,"YOUNG_ADULTS",L529&lt;=55,"MIDDLE_AGED",L529&gt;55,"OLD-AGED")</f>
        <v>MIDDLE_AGED</v>
      </c>
      <c r="O529" t="str" cm="1">
        <f t="array" ref="O529">_xlfn.IFS(D529&lt;=50000,"low income",D529&lt;=100000,"Mid income",D529&gt;100000,"High income")</f>
        <v>low income</v>
      </c>
      <c r="P529" t="str" cm="1">
        <f t="array" ref="P529">_xlfn.IFS(E529&lt;=2,"&lt;=2",E529&gt;2,"&gt;2")</f>
        <v>&lt;=2</v>
      </c>
    </row>
    <row r="530" spans="1:16">
      <c r="A530" s="2">
        <v>11935</v>
      </c>
      <c r="B530" s="2" t="s">
        <v>28</v>
      </c>
      <c r="C530" s="2" t="s">
        <v>17</v>
      </c>
      <c r="D530" s="6">
        <v>30000</v>
      </c>
      <c r="E530" s="2">
        <v>0</v>
      </c>
      <c r="F530" s="2" t="s">
        <v>23</v>
      </c>
      <c r="G530" s="2" t="s">
        <v>19</v>
      </c>
      <c r="H530" s="2" t="s">
        <v>20</v>
      </c>
      <c r="I530" s="2">
        <v>1</v>
      </c>
      <c r="J530" s="4" t="s">
        <v>29</v>
      </c>
      <c r="K530" s="2" t="s">
        <v>38</v>
      </c>
      <c r="L530" s="2">
        <v>28</v>
      </c>
      <c r="M530" t="str" cm="1">
        <f t="array" ref="M530">_xlfn.IFS(L530&lt;=35,"YOUNG_ADULTS",L530&lt;=55,"MIDDLE_AGED",L530&gt;55,"OLD-AGED")</f>
        <v>YOUNG_ADULTS</v>
      </c>
      <c r="O530" t="str" cm="1">
        <f t="array" ref="O530">_xlfn.IFS(D530&lt;=50000,"low income",D530&lt;=100000,"Mid income",D530&gt;100000,"High income")</f>
        <v>low income</v>
      </c>
      <c r="P530" t="str" cm="1">
        <f t="array" ref="P530">_xlfn.IFS(E530&lt;=2,"&lt;=2",E530&gt;2,"&gt;2")</f>
        <v>&lt;=2</v>
      </c>
    </row>
    <row r="531" spans="1:16">
      <c r="A531" s="2">
        <v>13233</v>
      </c>
      <c r="B531" s="2" t="s">
        <v>16</v>
      </c>
      <c r="C531" s="2" t="s">
        <v>16</v>
      </c>
      <c r="D531" s="6">
        <v>60000</v>
      </c>
      <c r="E531" s="2">
        <v>2</v>
      </c>
      <c r="F531" s="2" t="s">
        <v>23</v>
      </c>
      <c r="G531" s="2" t="s">
        <v>25</v>
      </c>
      <c r="H531" s="2" t="s">
        <v>20</v>
      </c>
      <c r="I531" s="2">
        <v>1</v>
      </c>
      <c r="J531" s="4" t="s">
        <v>36</v>
      </c>
      <c r="K531" s="2" t="s">
        <v>38</v>
      </c>
      <c r="L531" s="2">
        <v>57</v>
      </c>
      <c r="M531" t="str" cm="1">
        <f t="array" ref="M531">_xlfn.IFS(L531&lt;=35,"YOUNG_ADULTS",L531&lt;=55,"MIDDLE_AGED",L531&gt;55,"OLD-AGED")</f>
        <v>OLD-AGED</v>
      </c>
      <c r="N531" s="2" t="s">
        <v>20</v>
      </c>
      <c r="O531" t="str" cm="1">
        <f t="array" ref="O531">_xlfn.IFS(D531&lt;=50000,"low income",D531&lt;=100000,"Mid income",D531&gt;100000,"High income")</f>
        <v>Mid income</v>
      </c>
      <c r="P531" t="str" cm="1">
        <f t="array" ref="P531">_xlfn.IFS(E531&lt;=2,"&lt;=2",E531&gt;2,"&gt;2")</f>
        <v>&lt;=2</v>
      </c>
    </row>
    <row r="532" spans="1:16">
      <c r="A532" s="2">
        <v>25909</v>
      </c>
      <c r="B532" s="2" t="s">
        <v>16</v>
      </c>
      <c r="C532" s="2" t="s">
        <v>16</v>
      </c>
      <c r="D532" s="6">
        <v>60000</v>
      </c>
      <c r="E532" s="2">
        <v>0</v>
      </c>
      <c r="F532" s="2" t="s">
        <v>23</v>
      </c>
      <c r="G532" s="2" t="s">
        <v>19</v>
      </c>
      <c r="H532" s="2" t="s">
        <v>20</v>
      </c>
      <c r="I532" s="2">
        <v>1</v>
      </c>
      <c r="J532" s="4" t="s">
        <v>29</v>
      </c>
      <c r="K532" s="2" t="s">
        <v>38</v>
      </c>
      <c r="L532" s="2">
        <v>27</v>
      </c>
      <c r="M532" t="str" cm="1">
        <f t="array" ref="M532">_xlfn.IFS(L532&lt;=35,"YOUNG_ADULTS",L532&lt;=55,"MIDDLE_AGED",L532&gt;55,"OLD-AGED")</f>
        <v>YOUNG_ADULTS</v>
      </c>
      <c r="N532" s="2" t="s">
        <v>20</v>
      </c>
      <c r="O532" t="str" cm="1">
        <f t="array" ref="O532">_xlfn.IFS(D532&lt;=50000,"low income",D532&lt;=100000,"Mid income",D532&gt;100000,"High income")</f>
        <v>Mid income</v>
      </c>
      <c r="P532" t="str" cm="1">
        <f t="array" ref="P532">_xlfn.IFS(E532&lt;=2,"&lt;=2",E532&gt;2,"&gt;2")</f>
        <v>&lt;=2</v>
      </c>
    </row>
    <row r="533" spans="1:16">
      <c r="A533" s="2">
        <v>14092</v>
      </c>
      <c r="B533" s="2" t="s">
        <v>28</v>
      </c>
      <c r="C533" s="2" t="s">
        <v>16</v>
      </c>
      <c r="D533" s="6">
        <v>30000</v>
      </c>
      <c r="E533" s="2">
        <v>0</v>
      </c>
      <c r="F533" s="2" t="s">
        <v>35</v>
      </c>
      <c r="G533" s="2" t="s">
        <v>24</v>
      </c>
      <c r="H533" s="2" t="s">
        <v>20</v>
      </c>
      <c r="I533" s="2">
        <v>2</v>
      </c>
      <c r="J533" s="4" t="s">
        <v>29</v>
      </c>
      <c r="K533" s="2" t="s">
        <v>38</v>
      </c>
      <c r="L533" s="2">
        <v>28</v>
      </c>
      <c r="M533" t="str" cm="1">
        <f t="array" ref="M533">_xlfn.IFS(L533&lt;=35,"YOUNG_ADULTS",L533&lt;=55,"MIDDLE_AGED",L533&gt;55,"OLD-AGED")</f>
        <v>YOUNG_ADULTS</v>
      </c>
      <c r="O533" t="str" cm="1">
        <f t="array" ref="O533">_xlfn.IFS(D533&lt;=50000,"low income",D533&lt;=100000,"Mid income",D533&gt;100000,"High income")</f>
        <v>low income</v>
      </c>
      <c r="P533" t="str" cm="1">
        <f t="array" ref="P533">_xlfn.IFS(E533&lt;=2,"&lt;=2",E533&gt;2,"&gt;2")</f>
        <v>&lt;=2</v>
      </c>
    </row>
    <row r="534" spans="1:16">
      <c r="A534" s="2">
        <v>29143</v>
      </c>
      <c r="B534" s="2" t="s">
        <v>28</v>
      </c>
      <c r="C534" s="2" t="s">
        <v>17</v>
      </c>
      <c r="D534" s="6">
        <v>60000</v>
      </c>
      <c r="E534" s="2">
        <v>1</v>
      </c>
      <c r="F534" s="2" t="s">
        <v>18</v>
      </c>
      <c r="G534" s="2" t="s">
        <v>25</v>
      </c>
      <c r="H534" s="2" t="s">
        <v>26</v>
      </c>
      <c r="I534" s="2">
        <v>1</v>
      </c>
      <c r="J534" s="4" t="s">
        <v>21</v>
      </c>
      <c r="K534" s="2" t="s">
        <v>38</v>
      </c>
      <c r="L534" s="2">
        <v>44</v>
      </c>
      <c r="M534" t="str" cm="1">
        <f t="array" ref="M534">_xlfn.IFS(L534&lt;=35,"YOUNG_ADULTS",L534&lt;=55,"MIDDLE_AGED",L534&gt;55,"OLD-AGED")</f>
        <v>MIDDLE_AGED</v>
      </c>
      <c r="N534" s="2" t="s">
        <v>20</v>
      </c>
      <c r="O534" t="str" cm="1">
        <f t="array" ref="O534">_xlfn.IFS(D534&lt;=50000,"low income",D534&lt;=100000,"Mid income",D534&gt;100000,"High income")</f>
        <v>Mid income</v>
      </c>
      <c r="P534" t="str" cm="1">
        <f t="array" ref="P534">_xlfn.IFS(E534&lt;=2,"&lt;=2",E534&gt;2,"&gt;2")</f>
        <v>&lt;=2</v>
      </c>
    </row>
    <row r="535" spans="1:16">
      <c r="A535" s="2">
        <v>24941</v>
      </c>
      <c r="B535" s="2" t="s">
        <v>16</v>
      </c>
      <c r="C535" s="2" t="s">
        <v>16</v>
      </c>
      <c r="D535" s="6">
        <v>60000</v>
      </c>
      <c r="E535" s="2">
        <v>3</v>
      </c>
      <c r="F535" s="2" t="s">
        <v>18</v>
      </c>
      <c r="G535" s="2" t="s">
        <v>34</v>
      </c>
      <c r="H535" s="2" t="s">
        <v>20</v>
      </c>
      <c r="I535" s="2">
        <v>2</v>
      </c>
      <c r="J535" s="4" t="s">
        <v>36</v>
      </c>
      <c r="K535" s="2" t="s">
        <v>38</v>
      </c>
      <c r="L535" s="2">
        <v>66</v>
      </c>
      <c r="M535" t="str" cm="1">
        <f t="array" ref="M535">_xlfn.IFS(L535&lt;=35,"YOUNG_ADULTS",L535&lt;=55,"MIDDLE_AGED",L535&gt;55,"OLD-AGED")</f>
        <v>OLD-AGED</v>
      </c>
      <c r="O535" t="str" cm="1">
        <f t="array" ref="O535">_xlfn.IFS(D535&lt;=50000,"low income",D535&lt;=100000,"Mid income",D535&gt;100000,"High income")</f>
        <v>Mid income</v>
      </c>
      <c r="P535" t="str" cm="1">
        <f t="array" ref="P535">_xlfn.IFS(E535&lt;=2,"&lt;=2",E535&gt;2,"&gt;2")</f>
        <v>&gt;2</v>
      </c>
    </row>
    <row r="536" spans="1:16">
      <c r="A536" s="2">
        <v>24637</v>
      </c>
      <c r="B536" s="2" t="s">
        <v>16</v>
      </c>
      <c r="C536" s="2" t="s">
        <v>16</v>
      </c>
      <c r="D536" s="6">
        <v>40000</v>
      </c>
      <c r="E536" s="2">
        <v>4</v>
      </c>
      <c r="F536" s="2" t="s">
        <v>33</v>
      </c>
      <c r="G536" s="2" t="s">
        <v>25</v>
      </c>
      <c r="H536" s="2" t="s">
        <v>20</v>
      </c>
      <c r="I536" s="2">
        <v>2</v>
      </c>
      <c r="J536" s="4" t="s">
        <v>36</v>
      </c>
      <c r="K536" s="2" t="s">
        <v>38</v>
      </c>
      <c r="L536" s="2">
        <v>64</v>
      </c>
      <c r="M536" t="str" cm="1">
        <f t="array" ref="M536">_xlfn.IFS(L536&lt;=35,"YOUNG_ADULTS",L536&lt;=55,"MIDDLE_AGED",L536&gt;55,"OLD-AGED")</f>
        <v>OLD-AGED</v>
      </c>
      <c r="O536" t="str" cm="1">
        <f t="array" ref="O536">_xlfn.IFS(D536&lt;=50000,"low income",D536&lt;=100000,"Mid income",D536&gt;100000,"High income")</f>
        <v>low income</v>
      </c>
      <c r="P536" t="str" cm="1">
        <f t="array" ref="P536">_xlfn.IFS(E536&lt;=2,"&lt;=2",E536&gt;2,"&gt;2")</f>
        <v>&gt;2</v>
      </c>
    </row>
    <row r="537" spans="1:16">
      <c r="A537" s="2">
        <v>23893</v>
      </c>
      <c r="B537" s="2" t="s">
        <v>16</v>
      </c>
      <c r="C537" s="2" t="s">
        <v>16</v>
      </c>
      <c r="D537" s="6">
        <v>50000</v>
      </c>
      <c r="E537" s="2">
        <v>3</v>
      </c>
      <c r="F537" s="2" t="s">
        <v>18</v>
      </c>
      <c r="G537" s="2" t="s">
        <v>19</v>
      </c>
      <c r="H537" s="2" t="s">
        <v>20</v>
      </c>
      <c r="I537" s="2">
        <v>3</v>
      </c>
      <c r="J537" s="4" t="s">
        <v>36</v>
      </c>
      <c r="K537" s="2" t="s">
        <v>38</v>
      </c>
      <c r="L537" s="2">
        <v>41</v>
      </c>
      <c r="M537" t="str" cm="1">
        <f t="array" ref="M537">_xlfn.IFS(L537&lt;=35,"YOUNG_ADULTS",L537&lt;=55,"MIDDLE_AGED",L537&gt;55,"OLD-AGED")</f>
        <v>MIDDLE_AGED</v>
      </c>
      <c r="O537" t="str" cm="1">
        <f t="array" ref="O537">_xlfn.IFS(D537&lt;=50000,"low income",D537&lt;=100000,"Mid income",D537&gt;100000,"High income")</f>
        <v>low income</v>
      </c>
      <c r="P537" t="str" cm="1">
        <f t="array" ref="P537">_xlfn.IFS(E537&lt;=2,"&lt;=2",E537&gt;2,"&gt;2")</f>
        <v>&gt;2</v>
      </c>
    </row>
    <row r="538" spans="1:16">
      <c r="A538" s="2">
        <v>13907</v>
      </c>
      <c r="B538" s="2" t="s">
        <v>28</v>
      </c>
      <c r="C538" s="2" t="s">
        <v>17</v>
      </c>
      <c r="D538" s="6">
        <v>80000</v>
      </c>
      <c r="E538" s="2">
        <v>3</v>
      </c>
      <c r="F538" s="2" t="s">
        <v>18</v>
      </c>
      <c r="G538" s="2" t="s">
        <v>19</v>
      </c>
      <c r="H538" s="2" t="s">
        <v>20</v>
      </c>
      <c r="I538" s="2">
        <v>1</v>
      </c>
      <c r="J538" s="4" t="s">
        <v>21</v>
      </c>
      <c r="K538" s="2" t="s">
        <v>38</v>
      </c>
      <c r="L538" s="2">
        <v>41</v>
      </c>
      <c r="M538" t="str" cm="1">
        <f t="array" ref="M538">_xlfn.IFS(L538&lt;=35,"YOUNG_ADULTS",L538&lt;=55,"MIDDLE_AGED",L538&gt;55,"OLD-AGED")</f>
        <v>MIDDLE_AGED</v>
      </c>
      <c r="N538" s="2" t="s">
        <v>20</v>
      </c>
      <c r="O538" t="str" cm="1">
        <f t="array" ref="O538">_xlfn.IFS(D538&lt;=50000,"low income",D538&lt;=100000,"Mid income",D538&gt;100000,"High income")</f>
        <v>Mid income</v>
      </c>
      <c r="P538" t="str" cm="1">
        <f t="array" ref="P538">_xlfn.IFS(E538&lt;=2,"&lt;=2",E538&gt;2,"&gt;2")</f>
        <v>&gt;2</v>
      </c>
    </row>
    <row r="539" spans="1:16">
      <c r="A539" s="2">
        <v>14900</v>
      </c>
      <c r="B539" s="2" t="s">
        <v>16</v>
      </c>
      <c r="C539" s="2" t="s">
        <v>17</v>
      </c>
      <c r="D539" s="6">
        <v>40000</v>
      </c>
      <c r="E539" s="2">
        <v>1</v>
      </c>
      <c r="F539" s="2" t="s">
        <v>23</v>
      </c>
      <c r="G539" s="2" t="s">
        <v>24</v>
      </c>
      <c r="H539" s="2" t="s">
        <v>20</v>
      </c>
      <c r="I539" s="2">
        <v>1</v>
      </c>
      <c r="J539" s="4" t="s">
        <v>32</v>
      </c>
      <c r="K539" s="2" t="s">
        <v>38</v>
      </c>
      <c r="L539" s="2">
        <v>49</v>
      </c>
      <c r="M539" t="str" cm="1">
        <f t="array" ref="M539">_xlfn.IFS(L539&lt;=35,"YOUNG_ADULTS",L539&lt;=55,"MIDDLE_AGED",L539&gt;55,"OLD-AGED")</f>
        <v>MIDDLE_AGED</v>
      </c>
      <c r="N539" s="2" t="s">
        <v>20</v>
      </c>
      <c r="O539" t="str" cm="1">
        <f t="array" ref="O539">_xlfn.IFS(D539&lt;=50000,"low income",D539&lt;=100000,"Mid income",D539&gt;100000,"High income")</f>
        <v>low income</v>
      </c>
      <c r="P539" t="str" cm="1">
        <f t="array" ref="P539">_xlfn.IFS(E539&lt;=2,"&lt;=2",E539&gt;2,"&gt;2")</f>
        <v>&lt;=2</v>
      </c>
    </row>
    <row r="540" spans="1:16">
      <c r="A540" s="2">
        <v>11262</v>
      </c>
      <c r="B540" s="2" t="s">
        <v>16</v>
      </c>
      <c r="C540" s="2" t="s">
        <v>17</v>
      </c>
      <c r="D540" s="6">
        <v>80000</v>
      </c>
      <c r="E540" s="2">
        <v>4</v>
      </c>
      <c r="F540" s="2" t="s">
        <v>18</v>
      </c>
      <c r="G540" s="2" t="s">
        <v>34</v>
      </c>
      <c r="H540" s="2" t="s">
        <v>20</v>
      </c>
      <c r="I540" s="2">
        <v>0</v>
      </c>
      <c r="J540" s="4" t="s">
        <v>21</v>
      </c>
      <c r="K540" s="2" t="s">
        <v>38</v>
      </c>
      <c r="L540" s="2">
        <v>42</v>
      </c>
      <c r="M540" t="str" cm="1">
        <f t="array" ref="M540">_xlfn.IFS(L540&lt;=35,"YOUNG_ADULTS",L540&lt;=55,"MIDDLE_AGED",L540&gt;55,"OLD-AGED")</f>
        <v>MIDDLE_AGED</v>
      </c>
      <c r="O540" t="str" cm="1">
        <f t="array" ref="O540">_xlfn.IFS(D540&lt;=50000,"low income",D540&lt;=100000,"Mid income",D540&gt;100000,"High income")</f>
        <v>Mid income</v>
      </c>
      <c r="P540" t="str" cm="1">
        <f t="array" ref="P540">_xlfn.IFS(E540&lt;=2,"&lt;=2",E540&gt;2,"&gt;2")</f>
        <v>&gt;2</v>
      </c>
    </row>
    <row r="541" spans="1:16">
      <c r="A541" s="2">
        <v>22294</v>
      </c>
      <c r="B541" s="2" t="s">
        <v>28</v>
      </c>
      <c r="C541" s="2" t="s">
        <v>17</v>
      </c>
      <c r="D541" s="6">
        <v>70000</v>
      </c>
      <c r="E541" s="2">
        <v>0</v>
      </c>
      <c r="F541" s="2" t="s">
        <v>18</v>
      </c>
      <c r="G541" s="2" t="s">
        <v>25</v>
      </c>
      <c r="H541" s="2" t="s">
        <v>26</v>
      </c>
      <c r="I541" s="2">
        <v>1</v>
      </c>
      <c r="J541" s="4" t="s">
        <v>27</v>
      </c>
      <c r="K541" s="2" t="s">
        <v>38</v>
      </c>
      <c r="L541" s="2">
        <v>37</v>
      </c>
      <c r="M541" t="str" cm="1">
        <f t="array" ref="M541">_xlfn.IFS(L541&lt;=35,"YOUNG_ADULTS",L541&lt;=55,"MIDDLE_AGED",L541&gt;55,"OLD-AGED")</f>
        <v>MIDDLE_AGED</v>
      </c>
      <c r="N541" s="2" t="s">
        <v>20</v>
      </c>
      <c r="O541" t="str" cm="1">
        <f t="array" ref="O541">_xlfn.IFS(D541&lt;=50000,"low income",D541&lt;=100000,"Mid income",D541&gt;100000,"High income")</f>
        <v>Mid income</v>
      </c>
      <c r="P541" t="str" cm="1">
        <f t="array" ref="P541">_xlfn.IFS(E541&lt;=2,"&lt;=2",E541&gt;2,"&gt;2")</f>
        <v>&lt;=2</v>
      </c>
    </row>
    <row r="542" spans="1:16">
      <c r="A542" s="2">
        <v>12195</v>
      </c>
      <c r="B542" s="2" t="s">
        <v>28</v>
      </c>
      <c r="C542" s="2" t="s">
        <v>17</v>
      </c>
      <c r="D542" s="6">
        <v>70000</v>
      </c>
      <c r="E542" s="2">
        <v>3</v>
      </c>
      <c r="F542" s="2" t="s">
        <v>37</v>
      </c>
      <c r="G542" s="2" t="s">
        <v>34</v>
      </c>
      <c r="H542" s="2" t="s">
        <v>20</v>
      </c>
      <c r="I542" s="2">
        <v>2</v>
      </c>
      <c r="J542" s="4" t="s">
        <v>32</v>
      </c>
      <c r="K542" s="2" t="s">
        <v>38</v>
      </c>
      <c r="L542" s="2">
        <v>52</v>
      </c>
      <c r="M542" t="str" cm="1">
        <f t="array" ref="M542">_xlfn.IFS(L542&lt;=35,"YOUNG_ADULTS",L542&lt;=55,"MIDDLE_AGED",L542&gt;55,"OLD-AGED")</f>
        <v>MIDDLE_AGED</v>
      </c>
      <c r="O542" t="str" cm="1">
        <f t="array" ref="O542">_xlfn.IFS(D542&lt;=50000,"low income",D542&lt;=100000,"Mid income",D542&gt;100000,"High income")</f>
        <v>Mid income</v>
      </c>
      <c r="P542" t="str" cm="1">
        <f t="array" ref="P542">_xlfn.IFS(E542&lt;=2,"&lt;=2",E542&gt;2,"&gt;2")</f>
        <v>&gt;2</v>
      </c>
    </row>
    <row r="543" spans="1:16">
      <c r="A543" s="2">
        <v>25375</v>
      </c>
      <c r="B543" s="2" t="s">
        <v>16</v>
      </c>
      <c r="C543" s="2" t="s">
        <v>16</v>
      </c>
      <c r="D543" s="6">
        <v>50000</v>
      </c>
      <c r="E543" s="2">
        <v>1</v>
      </c>
      <c r="F543" s="2" t="s">
        <v>37</v>
      </c>
      <c r="G543" s="2" t="s">
        <v>19</v>
      </c>
      <c r="H543" s="2" t="s">
        <v>20</v>
      </c>
      <c r="I543" s="2">
        <v>0</v>
      </c>
      <c r="J543" s="4" t="s">
        <v>32</v>
      </c>
      <c r="K543" s="2" t="s">
        <v>38</v>
      </c>
      <c r="L543" s="2">
        <v>34</v>
      </c>
      <c r="M543" t="str" cm="1">
        <f t="array" ref="M543">_xlfn.IFS(L543&lt;=35,"YOUNG_ADULTS",L543&lt;=55,"MIDDLE_AGED",L543&gt;55,"OLD-AGED")</f>
        <v>YOUNG_ADULTS</v>
      </c>
      <c r="O543" t="str" cm="1">
        <f t="array" ref="O543">_xlfn.IFS(D543&lt;=50000,"low income",D543&lt;=100000,"Mid income",D543&gt;100000,"High income")</f>
        <v>low income</v>
      </c>
      <c r="P543" t="str" cm="1">
        <f t="array" ref="P543">_xlfn.IFS(E543&lt;=2,"&lt;=2",E543&gt;2,"&gt;2")</f>
        <v>&lt;=2</v>
      </c>
    </row>
    <row r="544" spans="1:16">
      <c r="A544" s="2">
        <v>11143</v>
      </c>
      <c r="B544" s="2" t="s">
        <v>16</v>
      </c>
      <c r="C544" s="2" t="s">
        <v>16</v>
      </c>
      <c r="D544" s="6">
        <v>40000</v>
      </c>
      <c r="E544" s="2">
        <v>0</v>
      </c>
      <c r="F544" s="2" t="s">
        <v>33</v>
      </c>
      <c r="G544" s="2" t="s">
        <v>19</v>
      </c>
      <c r="H544" s="2" t="s">
        <v>20</v>
      </c>
      <c r="I544" s="2">
        <v>2</v>
      </c>
      <c r="J544" s="4" t="s">
        <v>29</v>
      </c>
      <c r="K544" s="2" t="s">
        <v>38</v>
      </c>
      <c r="L544" s="2">
        <v>29</v>
      </c>
      <c r="M544" t="str" cm="1">
        <f t="array" ref="M544">_xlfn.IFS(L544&lt;=35,"YOUNG_ADULTS",L544&lt;=55,"MIDDLE_AGED",L544&gt;55,"OLD-AGED")</f>
        <v>YOUNG_ADULTS</v>
      </c>
      <c r="O544" t="str" cm="1">
        <f t="array" ref="O544">_xlfn.IFS(D544&lt;=50000,"low income",D544&lt;=100000,"Mid income",D544&gt;100000,"High income")</f>
        <v>low income</v>
      </c>
      <c r="P544" t="str" cm="1">
        <f t="array" ref="P544">_xlfn.IFS(E544&lt;=2,"&lt;=2",E544&gt;2,"&gt;2")</f>
        <v>&lt;=2</v>
      </c>
    </row>
    <row r="545" spans="1:16">
      <c r="A545" s="2">
        <v>25898</v>
      </c>
      <c r="B545" s="2" t="s">
        <v>16</v>
      </c>
      <c r="C545" s="2" t="s">
        <v>17</v>
      </c>
      <c r="D545" s="6">
        <v>70000</v>
      </c>
      <c r="E545" s="2">
        <v>2</v>
      </c>
      <c r="F545" s="2" t="s">
        <v>33</v>
      </c>
      <c r="G545" s="2" t="s">
        <v>25</v>
      </c>
      <c r="H545" s="2" t="s">
        <v>20</v>
      </c>
      <c r="I545" s="2">
        <v>2</v>
      </c>
      <c r="J545" s="4" t="s">
        <v>27</v>
      </c>
      <c r="K545" s="2" t="s">
        <v>38</v>
      </c>
      <c r="L545" s="2">
        <v>53</v>
      </c>
      <c r="M545" t="str" cm="1">
        <f t="array" ref="M545">_xlfn.IFS(L545&lt;=35,"YOUNG_ADULTS",L545&lt;=55,"MIDDLE_AGED",L545&gt;55,"OLD-AGED")</f>
        <v>MIDDLE_AGED</v>
      </c>
      <c r="O545" t="str" cm="1">
        <f t="array" ref="O545">_xlfn.IFS(D545&lt;=50000,"low income",D545&lt;=100000,"Mid income",D545&gt;100000,"High income")</f>
        <v>Mid income</v>
      </c>
      <c r="P545" t="str" cm="1">
        <f t="array" ref="P545">_xlfn.IFS(E545&lt;=2,"&lt;=2",E545&gt;2,"&gt;2")</f>
        <v>&lt;=2</v>
      </c>
    </row>
    <row r="546" spans="1:16">
      <c r="A546" s="2">
        <v>24397</v>
      </c>
      <c r="B546" s="2" t="s">
        <v>28</v>
      </c>
      <c r="C546" s="2" t="s">
        <v>16</v>
      </c>
      <c r="D546" s="6">
        <v>120000</v>
      </c>
      <c r="E546" s="2">
        <v>2</v>
      </c>
      <c r="F546" s="2" t="s">
        <v>18</v>
      </c>
      <c r="G546" s="2" t="s">
        <v>34</v>
      </c>
      <c r="H546" s="2" t="s">
        <v>26</v>
      </c>
      <c r="I546" s="2">
        <v>4</v>
      </c>
      <c r="J546" s="4" t="s">
        <v>32</v>
      </c>
      <c r="K546" s="2" t="s">
        <v>38</v>
      </c>
      <c r="L546" s="2">
        <v>40</v>
      </c>
      <c r="M546" t="str" cm="1">
        <f t="array" ref="M546">_xlfn.IFS(L546&lt;=35,"YOUNG_ADULTS",L546&lt;=55,"MIDDLE_AGED",L546&gt;55,"OLD-AGED")</f>
        <v>MIDDLE_AGED</v>
      </c>
      <c r="O546" t="str" cm="1">
        <f t="array" ref="O546">_xlfn.IFS(D546&lt;=50000,"low income",D546&lt;=100000,"Mid income",D546&gt;100000,"High income")</f>
        <v>High income</v>
      </c>
      <c r="P546" t="str" cm="1">
        <f t="array" ref="P546">_xlfn.IFS(E546&lt;=2,"&lt;=2",E546&gt;2,"&gt;2")</f>
        <v>&lt;=2</v>
      </c>
    </row>
    <row r="547" spans="1:16">
      <c r="A547" s="2">
        <v>19758</v>
      </c>
      <c r="B547" s="2" t="s">
        <v>28</v>
      </c>
      <c r="C547" s="2" t="s">
        <v>16</v>
      </c>
      <c r="D547" s="6">
        <v>60000</v>
      </c>
      <c r="E547" s="2">
        <v>0</v>
      </c>
      <c r="F547" s="2" t="s">
        <v>23</v>
      </c>
      <c r="G547" s="2" t="s">
        <v>19</v>
      </c>
      <c r="H547" s="2" t="s">
        <v>26</v>
      </c>
      <c r="I547" s="2">
        <v>2</v>
      </c>
      <c r="J547" s="4" t="s">
        <v>32</v>
      </c>
      <c r="K547" s="2" t="s">
        <v>38</v>
      </c>
      <c r="L547" s="2">
        <v>29</v>
      </c>
      <c r="M547" t="str" cm="1">
        <f t="array" ref="M547">_xlfn.IFS(L547&lt;=35,"YOUNG_ADULTS",L547&lt;=55,"MIDDLE_AGED",L547&gt;55,"OLD-AGED")</f>
        <v>YOUNG_ADULTS</v>
      </c>
      <c r="O547" t="str" cm="1">
        <f t="array" ref="O547">_xlfn.IFS(D547&lt;=50000,"low income",D547&lt;=100000,"Mid income",D547&gt;100000,"High income")</f>
        <v>Mid income</v>
      </c>
      <c r="P547" t="str" cm="1">
        <f t="array" ref="P547">_xlfn.IFS(E547&lt;=2,"&lt;=2",E547&gt;2,"&gt;2")</f>
        <v>&lt;=2</v>
      </c>
    </row>
    <row r="548" spans="1:16">
      <c r="A548" s="2">
        <v>15529</v>
      </c>
      <c r="B548" s="2" t="s">
        <v>16</v>
      </c>
      <c r="C548" s="2" t="s">
        <v>16</v>
      </c>
      <c r="D548" s="6">
        <v>60000</v>
      </c>
      <c r="E548" s="2">
        <v>4</v>
      </c>
      <c r="F548" s="2" t="s">
        <v>18</v>
      </c>
      <c r="G548" s="2" t="s">
        <v>25</v>
      </c>
      <c r="H548" s="2" t="s">
        <v>20</v>
      </c>
      <c r="I548" s="2">
        <v>2</v>
      </c>
      <c r="J548" s="4" t="s">
        <v>27</v>
      </c>
      <c r="K548" s="2" t="s">
        <v>38</v>
      </c>
      <c r="L548" s="2">
        <v>43</v>
      </c>
      <c r="M548" t="str" cm="1">
        <f t="array" ref="M548">_xlfn.IFS(L548&lt;=35,"YOUNG_ADULTS",L548&lt;=55,"MIDDLE_AGED",L548&gt;55,"OLD-AGED")</f>
        <v>MIDDLE_AGED</v>
      </c>
      <c r="N548" s="2" t="s">
        <v>20</v>
      </c>
      <c r="O548" t="str" cm="1">
        <f t="array" ref="O548">_xlfn.IFS(D548&lt;=50000,"low income",D548&lt;=100000,"Mid income",D548&gt;100000,"High income")</f>
        <v>Mid income</v>
      </c>
      <c r="P548" t="str" cm="1">
        <f t="array" ref="P548">_xlfn.IFS(E548&lt;=2,"&lt;=2",E548&gt;2,"&gt;2")</f>
        <v>&gt;2</v>
      </c>
    </row>
    <row r="549" spans="1:16">
      <c r="A549" s="2">
        <v>19884</v>
      </c>
      <c r="B549" s="2" t="s">
        <v>16</v>
      </c>
      <c r="C549" s="2" t="s">
        <v>16</v>
      </c>
      <c r="D549" s="6">
        <v>60000</v>
      </c>
      <c r="E549" s="2">
        <v>2</v>
      </c>
      <c r="F549" s="2" t="s">
        <v>33</v>
      </c>
      <c r="G549" s="2" t="s">
        <v>25</v>
      </c>
      <c r="H549" s="2" t="s">
        <v>20</v>
      </c>
      <c r="I549" s="2">
        <v>2</v>
      </c>
      <c r="J549" s="4" t="s">
        <v>27</v>
      </c>
      <c r="K549" s="2" t="s">
        <v>38</v>
      </c>
      <c r="L549" s="2">
        <v>55</v>
      </c>
      <c r="M549" t="str" cm="1">
        <f t="array" ref="M549">_xlfn.IFS(L549&lt;=35,"YOUNG_ADULTS",L549&lt;=55,"MIDDLE_AGED",L549&gt;55,"OLD-AGED")</f>
        <v>MIDDLE_AGED</v>
      </c>
      <c r="N549" s="2" t="s">
        <v>20</v>
      </c>
      <c r="O549" t="str" cm="1">
        <f t="array" ref="O549">_xlfn.IFS(D549&lt;=50000,"low income",D549&lt;=100000,"Mid income",D549&gt;100000,"High income")</f>
        <v>Mid income</v>
      </c>
      <c r="P549" t="str" cm="1">
        <f t="array" ref="P549">_xlfn.IFS(E549&lt;=2,"&lt;=2",E549&gt;2,"&gt;2")</f>
        <v>&lt;=2</v>
      </c>
    </row>
    <row r="550" spans="1:16">
      <c r="A550" s="2">
        <v>18674</v>
      </c>
      <c r="B550" s="2" t="s">
        <v>28</v>
      </c>
      <c r="C550" s="2" t="s">
        <v>17</v>
      </c>
      <c r="D550" s="6">
        <v>80000</v>
      </c>
      <c r="E550" s="2">
        <v>4</v>
      </c>
      <c r="F550" s="2" t="s">
        <v>37</v>
      </c>
      <c r="G550" s="2" t="s">
        <v>19</v>
      </c>
      <c r="H550" s="2" t="s">
        <v>26</v>
      </c>
      <c r="I550" s="2">
        <v>0</v>
      </c>
      <c r="J550" s="4" t="s">
        <v>21</v>
      </c>
      <c r="K550" s="2" t="s">
        <v>38</v>
      </c>
      <c r="L550" s="2">
        <v>48</v>
      </c>
      <c r="M550" t="str" cm="1">
        <f t="array" ref="M550">_xlfn.IFS(L550&lt;=35,"YOUNG_ADULTS",L550&lt;=55,"MIDDLE_AGED",L550&gt;55,"OLD-AGED")</f>
        <v>MIDDLE_AGED</v>
      </c>
      <c r="O550" t="str" cm="1">
        <f t="array" ref="O550">_xlfn.IFS(D550&lt;=50000,"low income",D550&lt;=100000,"Mid income",D550&gt;100000,"High income")</f>
        <v>Mid income</v>
      </c>
      <c r="P550" t="str" cm="1">
        <f t="array" ref="P550">_xlfn.IFS(E550&lt;=2,"&lt;=2",E550&gt;2,"&gt;2")</f>
        <v>&gt;2</v>
      </c>
    </row>
    <row r="551" spans="1:16">
      <c r="A551" s="2">
        <v>13453</v>
      </c>
      <c r="B551" s="2" t="s">
        <v>16</v>
      </c>
      <c r="C551" s="2" t="s">
        <v>17</v>
      </c>
      <c r="D551" s="6">
        <v>130000</v>
      </c>
      <c r="E551" s="2">
        <v>3</v>
      </c>
      <c r="F551" s="2" t="s">
        <v>18</v>
      </c>
      <c r="G551" s="2" t="s">
        <v>34</v>
      </c>
      <c r="H551" s="2" t="s">
        <v>20</v>
      </c>
      <c r="I551" s="2">
        <v>3</v>
      </c>
      <c r="J551" s="4" t="s">
        <v>21</v>
      </c>
      <c r="K551" s="2" t="s">
        <v>38</v>
      </c>
      <c r="L551" s="2">
        <v>45</v>
      </c>
      <c r="M551" t="str" cm="1">
        <f t="array" ref="M551">_xlfn.IFS(L551&lt;=35,"YOUNG_ADULTS",L551&lt;=55,"MIDDLE_AGED",L551&gt;55,"OLD-AGED")</f>
        <v>MIDDLE_AGED</v>
      </c>
      <c r="N551" s="2" t="s">
        <v>20</v>
      </c>
      <c r="O551" t="str" cm="1">
        <f t="array" ref="O551">_xlfn.IFS(D551&lt;=50000,"low income",D551&lt;=100000,"Mid income",D551&gt;100000,"High income")</f>
        <v>High income</v>
      </c>
      <c r="P551" t="str" cm="1">
        <f t="array" ref="P551">_xlfn.IFS(E551&lt;=2,"&lt;=2",E551&gt;2,"&gt;2")</f>
        <v>&gt;2</v>
      </c>
    </row>
    <row r="552" spans="1:16">
      <c r="A552" s="2">
        <v>14063</v>
      </c>
      <c r="B552" s="2" t="s">
        <v>28</v>
      </c>
      <c r="C552" s="2" t="s">
        <v>17</v>
      </c>
      <c r="D552" s="6">
        <v>70000</v>
      </c>
      <c r="E552" s="2">
        <v>0</v>
      </c>
      <c r="F552" s="2" t="s">
        <v>18</v>
      </c>
      <c r="G552" s="2" t="s">
        <v>25</v>
      </c>
      <c r="H552" s="2" t="s">
        <v>26</v>
      </c>
      <c r="I552" s="2">
        <v>1</v>
      </c>
      <c r="J552" s="4" t="s">
        <v>21</v>
      </c>
      <c r="K552" s="2" t="s">
        <v>30</v>
      </c>
      <c r="L552" s="2">
        <v>42</v>
      </c>
      <c r="M552" t="str" cm="1">
        <f t="array" ref="M552">_xlfn.IFS(L552&lt;=35,"YOUNG_ADULTS",L552&lt;=55,"MIDDLE_AGED",L552&gt;55,"OLD-AGED")</f>
        <v>MIDDLE_AGED</v>
      </c>
      <c r="N552" s="2" t="s">
        <v>20</v>
      </c>
      <c r="O552" t="str" cm="1">
        <f t="array" ref="O552">_xlfn.IFS(D552&lt;=50000,"low income",D552&lt;=100000,"Mid income",D552&gt;100000,"High income")</f>
        <v>Mid income</v>
      </c>
      <c r="P552" t="str" cm="1">
        <f t="array" ref="P552">_xlfn.IFS(E552&lt;=2,"&lt;=2",E552&gt;2,"&gt;2")</f>
        <v>&lt;=2</v>
      </c>
    </row>
    <row r="553" spans="1:16">
      <c r="A553" s="2">
        <v>27393</v>
      </c>
      <c r="B553" s="2" t="s">
        <v>16</v>
      </c>
      <c r="C553" s="2" t="s">
        <v>17</v>
      </c>
      <c r="D553" s="6">
        <v>50000</v>
      </c>
      <c r="E553" s="2">
        <v>4</v>
      </c>
      <c r="F553" s="2" t="s">
        <v>18</v>
      </c>
      <c r="G553" s="2" t="s">
        <v>34</v>
      </c>
      <c r="H553" s="2" t="s">
        <v>20</v>
      </c>
      <c r="I553" s="2">
        <v>2</v>
      </c>
      <c r="J553" s="4" t="s">
        <v>36</v>
      </c>
      <c r="K553" s="2" t="s">
        <v>38</v>
      </c>
      <c r="L553" s="2">
        <v>63</v>
      </c>
      <c r="M553" t="str" cm="1">
        <f t="array" ref="M553">_xlfn.IFS(L553&lt;=35,"YOUNG_ADULTS",L553&lt;=55,"MIDDLE_AGED",L553&gt;55,"OLD-AGED")</f>
        <v>OLD-AGED</v>
      </c>
      <c r="O553" t="str" cm="1">
        <f t="array" ref="O553">_xlfn.IFS(D553&lt;=50000,"low income",D553&lt;=100000,"Mid income",D553&gt;100000,"High income")</f>
        <v>low income</v>
      </c>
      <c r="P553" t="str" cm="1">
        <f t="array" ref="P553">_xlfn.IFS(E553&lt;=2,"&lt;=2",E553&gt;2,"&gt;2")</f>
        <v>&gt;2</v>
      </c>
    </row>
    <row r="554" spans="1:16">
      <c r="A554" s="2">
        <v>14417</v>
      </c>
      <c r="B554" s="2" t="s">
        <v>28</v>
      </c>
      <c r="C554" s="2" t="s">
        <v>16</v>
      </c>
      <c r="D554" s="6">
        <v>60000</v>
      </c>
      <c r="E554" s="2">
        <v>3</v>
      </c>
      <c r="F554" s="2" t="s">
        <v>33</v>
      </c>
      <c r="G554" s="2" t="s">
        <v>25</v>
      </c>
      <c r="H554" s="2" t="s">
        <v>20</v>
      </c>
      <c r="I554" s="2">
        <v>2</v>
      </c>
      <c r="J554" s="4" t="s">
        <v>36</v>
      </c>
      <c r="K554" s="2" t="s">
        <v>38</v>
      </c>
      <c r="L554" s="2">
        <v>54</v>
      </c>
      <c r="M554" t="str" cm="1">
        <f t="array" ref="M554">_xlfn.IFS(L554&lt;=35,"YOUNG_ADULTS",L554&lt;=55,"MIDDLE_AGED",L554&gt;55,"OLD-AGED")</f>
        <v>MIDDLE_AGED</v>
      </c>
      <c r="N554" s="2" t="s">
        <v>20</v>
      </c>
      <c r="O554" t="str" cm="1">
        <f t="array" ref="O554">_xlfn.IFS(D554&lt;=50000,"low income",D554&lt;=100000,"Mid income",D554&gt;100000,"High income")</f>
        <v>Mid income</v>
      </c>
      <c r="P554" t="str" cm="1">
        <f t="array" ref="P554">_xlfn.IFS(E554&lt;=2,"&lt;=2",E554&gt;2,"&gt;2")</f>
        <v>&gt;2</v>
      </c>
    </row>
    <row r="555" spans="1:16">
      <c r="A555" s="2">
        <v>17533</v>
      </c>
      <c r="B555" s="2" t="s">
        <v>16</v>
      </c>
      <c r="C555" s="2" t="s">
        <v>16</v>
      </c>
      <c r="D555" s="6">
        <v>40000</v>
      </c>
      <c r="E555" s="2">
        <v>3</v>
      </c>
      <c r="F555" s="2" t="s">
        <v>23</v>
      </c>
      <c r="G555" s="2" t="s">
        <v>25</v>
      </c>
      <c r="H555" s="2" t="s">
        <v>26</v>
      </c>
      <c r="I555" s="2">
        <v>2</v>
      </c>
      <c r="J555" s="4" t="s">
        <v>29</v>
      </c>
      <c r="K555" s="2" t="s">
        <v>38</v>
      </c>
      <c r="L555" s="2">
        <v>73</v>
      </c>
      <c r="M555" t="str" cm="1">
        <f t="array" ref="M555">_xlfn.IFS(L555&lt;=35,"YOUNG_ADULTS",L555&lt;=55,"MIDDLE_AGED",L555&gt;55,"OLD-AGED")</f>
        <v>OLD-AGED</v>
      </c>
      <c r="N555" s="2" t="s">
        <v>20</v>
      </c>
      <c r="O555" t="str" cm="1">
        <f t="array" ref="O555">_xlfn.IFS(D555&lt;=50000,"low income",D555&lt;=100000,"Mid income",D555&gt;100000,"High income")</f>
        <v>low income</v>
      </c>
      <c r="P555" t="str" cm="1">
        <f t="array" ref="P555">_xlfn.IFS(E555&lt;=2,"&lt;=2",E555&gt;2,"&gt;2")</f>
        <v>&gt;2</v>
      </c>
    </row>
    <row r="556" spans="1:16">
      <c r="A556" s="2">
        <v>18580</v>
      </c>
      <c r="B556" s="2" t="s">
        <v>16</v>
      </c>
      <c r="C556" s="2" t="s">
        <v>17</v>
      </c>
      <c r="D556" s="6">
        <v>60000</v>
      </c>
      <c r="E556" s="2">
        <v>2</v>
      </c>
      <c r="F556" s="2" t="s">
        <v>37</v>
      </c>
      <c r="G556" s="2" t="s">
        <v>25</v>
      </c>
      <c r="H556" s="2" t="s">
        <v>20</v>
      </c>
      <c r="I556" s="2">
        <v>0</v>
      </c>
      <c r="J556" s="4" t="s">
        <v>27</v>
      </c>
      <c r="K556" s="2" t="s">
        <v>38</v>
      </c>
      <c r="L556" s="2">
        <v>40</v>
      </c>
      <c r="M556" t="str" cm="1">
        <f t="array" ref="M556">_xlfn.IFS(L556&lt;=35,"YOUNG_ADULTS",L556&lt;=55,"MIDDLE_AGED",L556&gt;55,"OLD-AGED")</f>
        <v>MIDDLE_AGED</v>
      </c>
      <c r="N556" s="2" t="s">
        <v>20</v>
      </c>
      <c r="O556" t="str" cm="1">
        <f t="array" ref="O556">_xlfn.IFS(D556&lt;=50000,"low income",D556&lt;=100000,"Mid income",D556&gt;100000,"High income")</f>
        <v>Mid income</v>
      </c>
      <c r="P556" t="str" cm="1">
        <f t="array" ref="P556">_xlfn.IFS(E556&lt;=2,"&lt;=2",E556&gt;2,"&gt;2")</f>
        <v>&lt;=2</v>
      </c>
    </row>
    <row r="557" spans="1:16">
      <c r="A557" s="2">
        <v>17025</v>
      </c>
      <c r="B557" s="2" t="s">
        <v>28</v>
      </c>
      <c r="C557" s="2" t="s">
        <v>16</v>
      </c>
      <c r="D557" s="6">
        <v>50000</v>
      </c>
      <c r="E557" s="2">
        <v>0</v>
      </c>
      <c r="F557" s="2" t="s">
        <v>23</v>
      </c>
      <c r="G557" s="2" t="s">
        <v>19</v>
      </c>
      <c r="H557" s="2" t="s">
        <v>26</v>
      </c>
      <c r="I557" s="2">
        <v>1</v>
      </c>
      <c r="J557" s="4" t="s">
        <v>27</v>
      </c>
      <c r="K557" s="2" t="s">
        <v>38</v>
      </c>
      <c r="L557" s="2">
        <v>39</v>
      </c>
      <c r="M557" t="str" cm="1">
        <f t="array" ref="M557">_xlfn.IFS(L557&lt;=35,"YOUNG_ADULTS",L557&lt;=55,"MIDDLE_AGED",L557&gt;55,"OLD-AGED")</f>
        <v>MIDDLE_AGED</v>
      </c>
      <c r="N557" s="2" t="s">
        <v>20</v>
      </c>
      <c r="O557" t="str" cm="1">
        <f t="array" ref="O557">_xlfn.IFS(D557&lt;=50000,"low income",D557&lt;=100000,"Mid income",D557&gt;100000,"High income")</f>
        <v>low income</v>
      </c>
      <c r="P557" t="str" cm="1">
        <f t="array" ref="P557">_xlfn.IFS(E557&lt;=2,"&lt;=2",E557&gt;2,"&gt;2")</f>
        <v>&lt;=2</v>
      </c>
    </row>
    <row r="558" spans="1:16">
      <c r="A558" s="2">
        <v>25293</v>
      </c>
      <c r="B558" s="2" t="s">
        <v>16</v>
      </c>
      <c r="C558" s="2" t="s">
        <v>16</v>
      </c>
      <c r="D558" s="6">
        <v>80000</v>
      </c>
      <c r="E558" s="2">
        <v>4</v>
      </c>
      <c r="F558" s="2" t="s">
        <v>18</v>
      </c>
      <c r="G558" s="2" t="s">
        <v>34</v>
      </c>
      <c r="H558" s="2" t="s">
        <v>20</v>
      </c>
      <c r="I558" s="2">
        <v>0</v>
      </c>
      <c r="J558" s="4" t="s">
        <v>32</v>
      </c>
      <c r="K558" s="2" t="s">
        <v>38</v>
      </c>
      <c r="L558" s="2">
        <v>42</v>
      </c>
      <c r="M558" t="str" cm="1">
        <f t="array" ref="M558">_xlfn.IFS(L558&lt;=35,"YOUNG_ADULTS",L558&lt;=55,"MIDDLE_AGED",L558&gt;55,"OLD-AGED")</f>
        <v>MIDDLE_AGED</v>
      </c>
      <c r="O558" t="str" cm="1">
        <f t="array" ref="O558">_xlfn.IFS(D558&lt;=50000,"low income",D558&lt;=100000,"Mid income",D558&gt;100000,"High income")</f>
        <v>Mid income</v>
      </c>
      <c r="P558" t="str" cm="1">
        <f t="array" ref="P558">_xlfn.IFS(E558&lt;=2,"&lt;=2",E558&gt;2,"&gt;2")</f>
        <v>&gt;2</v>
      </c>
    </row>
    <row r="559" spans="1:16">
      <c r="A559" s="2">
        <v>24725</v>
      </c>
      <c r="B559" s="2" t="s">
        <v>16</v>
      </c>
      <c r="C559" s="2" t="s">
        <v>17</v>
      </c>
      <c r="D559" s="6">
        <v>40000</v>
      </c>
      <c r="E559" s="2">
        <v>3</v>
      </c>
      <c r="F559" s="2" t="s">
        <v>23</v>
      </c>
      <c r="G559" s="2" t="s">
        <v>24</v>
      </c>
      <c r="H559" s="2" t="s">
        <v>20</v>
      </c>
      <c r="I559" s="2">
        <v>0</v>
      </c>
      <c r="J559" s="4" t="s">
        <v>32</v>
      </c>
      <c r="K559" s="2" t="s">
        <v>38</v>
      </c>
      <c r="L559" s="2">
        <v>31</v>
      </c>
      <c r="M559" t="str" cm="1">
        <f t="array" ref="M559">_xlfn.IFS(L559&lt;=35,"YOUNG_ADULTS",L559&lt;=55,"MIDDLE_AGED",L559&gt;55,"OLD-AGED")</f>
        <v>YOUNG_ADULTS</v>
      </c>
      <c r="O559" t="str" cm="1">
        <f t="array" ref="O559">_xlfn.IFS(D559&lt;=50000,"low income",D559&lt;=100000,"Mid income",D559&gt;100000,"High income")</f>
        <v>low income</v>
      </c>
      <c r="P559" t="str" cm="1">
        <f t="array" ref="P559">_xlfn.IFS(E559&lt;=2,"&lt;=2",E559&gt;2,"&gt;2")</f>
        <v>&gt;2</v>
      </c>
    </row>
    <row r="560" spans="1:16">
      <c r="A560" s="2">
        <v>23200</v>
      </c>
      <c r="B560" s="2" t="s">
        <v>16</v>
      </c>
      <c r="C560" s="2" t="s">
        <v>17</v>
      </c>
      <c r="D560" s="6">
        <v>50000</v>
      </c>
      <c r="E560" s="2">
        <v>3</v>
      </c>
      <c r="F560" s="2" t="s">
        <v>18</v>
      </c>
      <c r="G560" s="2" t="s">
        <v>19</v>
      </c>
      <c r="H560" s="2" t="s">
        <v>20</v>
      </c>
      <c r="I560" s="2">
        <v>2</v>
      </c>
      <c r="J560" s="4" t="s">
        <v>21</v>
      </c>
      <c r="K560" s="2" t="s">
        <v>38</v>
      </c>
      <c r="L560" s="2">
        <v>41</v>
      </c>
      <c r="M560" t="str" cm="1">
        <f t="array" ref="M560">_xlfn.IFS(L560&lt;=35,"YOUNG_ADULTS",L560&lt;=55,"MIDDLE_AGED",L560&gt;55,"OLD-AGED")</f>
        <v>MIDDLE_AGED</v>
      </c>
      <c r="O560" t="str" cm="1">
        <f t="array" ref="O560">_xlfn.IFS(D560&lt;=50000,"low income",D560&lt;=100000,"Mid income",D560&gt;100000,"High income")</f>
        <v>low income</v>
      </c>
      <c r="P560" t="str" cm="1">
        <f t="array" ref="P560">_xlfn.IFS(E560&lt;=2,"&lt;=2",E560&gt;2,"&gt;2")</f>
        <v>&gt;2</v>
      </c>
    </row>
    <row r="561" spans="1:16">
      <c r="A561" s="2">
        <v>15895</v>
      </c>
      <c r="B561" s="2" t="s">
        <v>28</v>
      </c>
      <c r="C561" s="2" t="s">
        <v>17</v>
      </c>
      <c r="D561" s="6">
        <v>60000</v>
      </c>
      <c r="E561" s="2">
        <v>2</v>
      </c>
      <c r="F561" s="2" t="s">
        <v>18</v>
      </c>
      <c r="G561" s="2" t="s">
        <v>34</v>
      </c>
      <c r="H561" s="2" t="s">
        <v>20</v>
      </c>
      <c r="I561" s="2">
        <v>0</v>
      </c>
      <c r="J561" s="4" t="s">
        <v>36</v>
      </c>
      <c r="K561" s="2" t="s">
        <v>38</v>
      </c>
      <c r="L561" s="2">
        <v>58</v>
      </c>
      <c r="M561" t="str" cm="1">
        <f t="array" ref="M561">_xlfn.IFS(L561&lt;=35,"YOUNG_ADULTS",L561&lt;=55,"MIDDLE_AGED",L561&gt;55,"OLD-AGED")</f>
        <v>OLD-AGED</v>
      </c>
      <c r="O561" t="str" cm="1">
        <f t="array" ref="O561">_xlfn.IFS(D561&lt;=50000,"low income",D561&lt;=100000,"Mid income",D561&gt;100000,"High income")</f>
        <v>Mid income</v>
      </c>
      <c r="P561" t="str" cm="1">
        <f t="array" ref="P561">_xlfn.IFS(E561&lt;=2,"&lt;=2",E561&gt;2,"&gt;2")</f>
        <v>&lt;=2</v>
      </c>
    </row>
    <row r="562" spans="1:16">
      <c r="A562" s="2">
        <v>18577</v>
      </c>
      <c r="B562" s="2" t="s">
        <v>16</v>
      </c>
      <c r="C562" s="2" t="s">
        <v>17</v>
      </c>
      <c r="D562" s="6">
        <v>60000</v>
      </c>
      <c r="E562" s="2">
        <v>0</v>
      </c>
      <c r="F562" s="2" t="s">
        <v>37</v>
      </c>
      <c r="G562" s="2" t="s">
        <v>25</v>
      </c>
      <c r="H562" s="2" t="s">
        <v>20</v>
      </c>
      <c r="I562" s="2">
        <v>0</v>
      </c>
      <c r="J562" s="4" t="s">
        <v>21</v>
      </c>
      <c r="K562" s="2" t="s">
        <v>38</v>
      </c>
      <c r="L562" s="2">
        <v>40</v>
      </c>
      <c r="M562" t="str" cm="1">
        <f t="array" ref="M562">_xlfn.IFS(L562&lt;=35,"YOUNG_ADULTS",L562&lt;=55,"MIDDLE_AGED",L562&gt;55,"OLD-AGED")</f>
        <v>MIDDLE_AGED</v>
      </c>
      <c r="O562" t="str" cm="1">
        <f t="array" ref="O562">_xlfn.IFS(D562&lt;=50000,"low income",D562&lt;=100000,"Mid income",D562&gt;100000,"High income")</f>
        <v>Mid income</v>
      </c>
      <c r="P562" t="str" cm="1">
        <f t="array" ref="P562">_xlfn.IFS(E562&lt;=2,"&lt;=2",E562&gt;2,"&gt;2")</f>
        <v>&lt;=2</v>
      </c>
    </row>
    <row r="563" spans="1:16">
      <c r="A563" s="2">
        <v>27218</v>
      </c>
      <c r="B563" s="2" t="s">
        <v>16</v>
      </c>
      <c r="C563" s="2" t="s">
        <v>17</v>
      </c>
      <c r="D563" s="6">
        <v>20000</v>
      </c>
      <c r="E563" s="2">
        <v>2</v>
      </c>
      <c r="F563" s="2" t="s">
        <v>35</v>
      </c>
      <c r="G563" s="2" t="s">
        <v>24</v>
      </c>
      <c r="H563" s="2" t="s">
        <v>26</v>
      </c>
      <c r="I563" s="2">
        <v>0</v>
      </c>
      <c r="J563" s="4" t="s">
        <v>21</v>
      </c>
      <c r="K563" s="2" t="s">
        <v>38</v>
      </c>
      <c r="L563" s="2">
        <v>48</v>
      </c>
      <c r="M563" t="str" cm="1">
        <f t="array" ref="M563">_xlfn.IFS(L563&lt;=35,"YOUNG_ADULTS",L563&lt;=55,"MIDDLE_AGED",L563&gt;55,"OLD-AGED")</f>
        <v>MIDDLE_AGED</v>
      </c>
      <c r="O563" t="str" cm="1">
        <f t="array" ref="O563">_xlfn.IFS(D563&lt;=50000,"low income",D563&lt;=100000,"Mid income",D563&gt;100000,"High income")</f>
        <v>low income</v>
      </c>
      <c r="P563" t="str" cm="1">
        <f t="array" ref="P563">_xlfn.IFS(E563&lt;=2,"&lt;=2",E563&gt;2,"&gt;2")</f>
        <v>&lt;=2</v>
      </c>
    </row>
    <row r="564" spans="1:16">
      <c r="A564" s="2">
        <v>18560</v>
      </c>
      <c r="B564" s="2" t="s">
        <v>16</v>
      </c>
      <c r="C564" s="2" t="s">
        <v>17</v>
      </c>
      <c r="D564" s="6">
        <v>70000</v>
      </c>
      <c r="E564" s="2">
        <v>2</v>
      </c>
      <c r="F564" s="2" t="s">
        <v>37</v>
      </c>
      <c r="G564" s="2" t="s">
        <v>25</v>
      </c>
      <c r="H564" s="2" t="s">
        <v>20</v>
      </c>
      <c r="I564" s="2">
        <v>0</v>
      </c>
      <c r="J564" s="4" t="s">
        <v>27</v>
      </c>
      <c r="K564" s="2" t="s">
        <v>38</v>
      </c>
      <c r="L564" s="2">
        <v>34</v>
      </c>
      <c r="M564" t="str" cm="1">
        <f t="array" ref="M564">_xlfn.IFS(L564&lt;=35,"YOUNG_ADULTS",L564&lt;=55,"MIDDLE_AGED",L564&gt;55,"OLD-AGED")</f>
        <v>YOUNG_ADULTS</v>
      </c>
      <c r="N564" s="2" t="s">
        <v>20</v>
      </c>
      <c r="O564" t="str" cm="1">
        <f t="array" ref="O564">_xlfn.IFS(D564&lt;=50000,"low income",D564&lt;=100000,"Mid income",D564&gt;100000,"High income")</f>
        <v>Mid income</v>
      </c>
      <c r="P564" t="str" cm="1">
        <f t="array" ref="P564">_xlfn.IFS(E564&lt;=2,"&lt;=2",E564&gt;2,"&gt;2")</f>
        <v>&lt;=2</v>
      </c>
    </row>
    <row r="565" spans="1:16">
      <c r="A565" s="2">
        <v>25006</v>
      </c>
      <c r="B565" s="2" t="s">
        <v>28</v>
      </c>
      <c r="C565" s="2" t="s">
        <v>17</v>
      </c>
      <c r="D565" s="6">
        <v>30000</v>
      </c>
      <c r="E565" s="2">
        <v>0</v>
      </c>
      <c r="F565" s="2" t="s">
        <v>23</v>
      </c>
      <c r="G565" s="2" t="s">
        <v>19</v>
      </c>
      <c r="H565" s="2" t="s">
        <v>20</v>
      </c>
      <c r="I565" s="2">
        <v>1</v>
      </c>
      <c r="J565" s="4" t="s">
        <v>29</v>
      </c>
      <c r="K565" s="2" t="s">
        <v>38</v>
      </c>
      <c r="L565" s="2">
        <v>28</v>
      </c>
      <c r="M565" t="str" cm="1">
        <f t="array" ref="M565">_xlfn.IFS(L565&lt;=35,"YOUNG_ADULTS",L565&lt;=55,"MIDDLE_AGED",L565&gt;55,"OLD-AGED")</f>
        <v>YOUNG_ADULTS</v>
      </c>
      <c r="O565" t="str" cm="1">
        <f t="array" ref="O565">_xlfn.IFS(D565&lt;=50000,"low income",D565&lt;=100000,"Mid income",D565&gt;100000,"High income")</f>
        <v>low income</v>
      </c>
      <c r="P565" t="str" cm="1">
        <f t="array" ref="P565">_xlfn.IFS(E565&lt;=2,"&lt;=2",E565&gt;2,"&gt;2")</f>
        <v>&lt;=2</v>
      </c>
    </row>
    <row r="566" spans="1:16">
      <c r="A566" s="2">
        <v>17369</v>
      </c>
      <c r="B566" s="2" t="s">
        <v>28</v>
      </c>
      <c r="C566" s="2" t="s">
        <v>16</v>
      </c>
      <c r="D566" s="6">
        <v>30000</v>
      </c>
      <c r="E566" s="2">
        <v>0</v>
      </c>
      <c r="F566" s="2" t="s">
        <v>23</v>
      </c>
      <c r="G566" s="2" t="s">
        <v>19</v>
      </c>
      <c r="H566" s="2" t="s">
        <v>20</v>
      </c>
      <c r="I566" s="2">
        <v>1</v>
      </c>
      <c r="J566" s="4" t="s">
        <v>29</v>
      </c>
      <c r="K566" s="2" t="s">
        <v>38</v>
      </c>
      <c r="L566" s="2">
        <v>27</v>
      </c>
      <c r="M566" t="str" cm="1">
        <f t="array" ref="M566">_xlfn.IFS(L566&lt;=35,"YOUNG_ADULTS",L566&lt;=55,"MIDDLE_AGED",L566&gt;55,"OLD-AGED")</f>
        <v>YOUNG_ADULTS</v>
      </c>
      <c r="O566" t="str" cm="1">
        <f t="array" ref="O566">_xlfn.IFS(D566&lt;=50000,"low income",D566&lt;=100000,"Mid income",D566&gt;100000,"High income")</f>
        <v>low income</v>
      </c>
      <c r="P566" t="str" cm="1">
        <f t="array" ref="P566">_xlfn.IFS(E566&lt;=2,"&lt;=2",E566&gt;2,"&gt;2")</f>
        <v>&lt;=2</v>
      </c>
    </row>
    <row r="567" spans="1:16">
      <c r="A567" s="2">
        <v>14495</v>
      </c>
      <c r="B567" s="2" t="s">
        <v>16</v>
      </c>
      <c r="C567" s="2" t="s">
        <v>16</v>
      </c>
      <c r="D567" s="6">
        <v>40000</v>
      </c>
      <c r="E567" s="2">
        <v>3</v>
      </c>
      <c r="F567" s="2" t="s">
        <v>23</v>
      </c>
      <c r="G567" s="2" t="s">
        <v>25</v>
      </c>
      <c r="H567" s="2" t="s">
        <v>26</v>
      </c>
      <c r="I567" s="2">
        <v>2</v>
      </c>
      <c r="J567" s="4" t="s">
        <v>29</v>
      </c>
      <c r="K567" s="2" t="s">
        <v>38</v>
      </c>
      <c r="L567" s="2">
        <v>54</v>
      </c>
      <c r="M567" t="str" cm="1">
        <f t="array" ref="M567">_xlfn.IFS(L567&lt;=35,"YOUNG_ADULTS",L567&lt;=55,"MIDDLE_AGED",L567&gt;55,"OLD-AGED")</f>
        <v>MIDDLE_AGED</v>
      </c>
      <c r="N567" s="2" t="s">
        <v>20</v>
      </c>
      <c r="O567" t="str" cm="1">
        <f t="array" ref="O567">_xlfn.IFS(D567&lt;=50000,"low income",D567&lt;=100000,"Mid income",D567&gt;100000,"High income")</f>
        <v>low income</v>
      </c>
      <c r="P567" t="str" cm="1">
        <f t="array" ref="P567">_xlfn.IFS(E567&lt;=2,"&lt;=2",E567&gt;2,"&gt;2")</f>
        <v>&gt;2</v>
      </c>
    </row>
    <row r="568" spans="1:16">
      <c r="A568" s="2">
        <v>18847</v>
      </c>
      <c r="B568" s="2" t="s">
        <v>16</v>
      </c>
      <c r="C568" s="2" t="s">
        <v>17</v>
      </c>
      <c r="D568" s="6">
        <v>60000</v>
      </c>
      <c r="E568" s="2">
        <v>2</v>
      </c>
      <c r="F568" s="2" t="s">
        <v>37</v>
      </c>
      <c r="G568" s="2" t="s">
        <v>34</v>
      </c>
      <c r="H568" s="2" t="s">
        <v>20</v>
      </c>
      <c r="I568" s="2">
        <v>2</v>
      </c>
      <c r="J568" s="4" t="s">
        <v>29</v>
      </c>
      <c r="K568" s="2" t="s">
        <v>38</v>
      </c>
      <c r="L568" s="2">
        <v>70</v>
      </c>
      <c r="M568" t="str" cm="1">
        <f t="array" ref="M568">_xlfn.IFS(L568&lt;=35,"YOUNG_ADULTS",L568&lt;=55,"MIDDLE_AGED",L568&gt;55,"OLD-AGED")</f>
        <v>OLD-AGED</v>
      </c>
      <c r="O568" t="str" cm="1">
        <f t="array" ref="O568">_xlfn.IFS(D568&lt;=50000,"low income",D568&lt;=100000,"Mid income",D568&gt;100000,"High income")</f>
        <v>Mid income</v>
      </c>
      <c r="P568" t="str" cm="1">
        <f t="array" ref="P568">_xlfn.IFS(E568&lt;=2,"&lt;=2",E568&gt;2,"&gt;2")</f>
        <v>&lt;=2</v>
      </c>
    </row>
    <row r="569" spans="1:16">
      <c r="A569" s="2">
        <v>14754</v>
      </c>
      <c r="B569" s="2" t="s">
        <v>16</v>
      </c>
      <c r="C569" s="2" t="s">
        <v>16</v>
      </c>
      <c r="D569" s="6">
        <v>40000</v>
      </c>
      <c r="E569" s="2">
        <v>1</v>
      </c>
      <c r="F569" s="2" t="s">
        <v>23</v>
      </c>
      <c r="G569" s="2" t="s">
        <v>24</v>
      </c>
      <c r="H569" s="2" t="s">
        <v>20</v>
      </c>
      <c r="I569" s="2">
        <v>1</v>
      </c>
      <c r="J569" s="4" t="s">
        <v>32</v>
      </c>
      <c r="K569" s="2" t="s">
        <v>38</v>
      </c>
      <c r="L569" s="2">
        <v>48</v>
      </c>
      <c r="M569" t="str" cm="1">
        <f t="array" ref="M569">_xlfn.IFS(L569&lt;=35,"YOUNG_ADULTS",L569&lt;=55,"MIDDLE_AGED",L569&gt;55,"OLD-AGED")</f>
        <v>MIDDLE_AGED</v>
      </c>
      <c r="N569" s="2" t="s">
        <v>20</v>
      </c>
      <c r="O569" t="str" cm="1">
        <f t="array" ref="O569">_xlfn.IFS(D569&lt;=50000,"low income",D569&lt;=100000,"Mid income",D569&gt;100000,"High income")</f>
        <v>low income</v>
      </c>
      <c r="P569" t="str" cm="1">
        <f t="array" ref="P569">_xlfn.IFS(E569&lt;=2,"&lt;=2",E569&gt;2,"&gt;2")</f>
        <v>&lt;=2</v>
      </c>
    </row>
    <row r="570" spans="1:16">
      <c r="A570" s="2">
        <v>23378</v>
      </c>
      <c r="B570" s="2" t="s">
        <v>16</v>
      </c>
      <c r="C570" s="2" t="s">
        <v>16</v>
      </c>
      <c r="D570" s="6">
        <v>70000</v>
      </c>
      <c r="E570" s="2">
        <v>1</v>
      </c>
      <c r="F570" s="2" t="s">
        <v>23</v>
      </c>
      <c r="G570" s="2" t="s">
        <v>19</v>
      </c>
      <c r="H570" s="2" t="s">
        <v>20</v>
      </c>
      <c r="I570" s="2">
        <v>1</v>
      </c>
      <c r="J570" s="4" t="s">
        <v>27</v>
      </c>
      <c r="K570" s="2" t="s">
        <v>38</v>
      </c>
      <c r="L570" s="2">
        <v>44</v>
      </c>
      <c r="M570" t="str" cm="1">
        <f t="array" ref="M570">_xlfn.IFS(L570&lt;=35,"YOUNG_ADULTS",L570&lt;=55,"MIDDLE_AGED",L570&gt;55,"OLD-AGED")</f>
        <v>MIDDLE_AGED</v>
      </c>
      <c r="N570" s="2" t="s">
        <v>20</v>
      </c>
      <c r="O570" t="str" cm="1">
        <f t="array" ref="O570">_xlfn.IFS(D570&lt;=50000,"low income",D570&lt;=100000,"Mid income",D570&gt;100000,"High income")</f>
        <v>Mid income</v>
      </c>
      <c r="P570" t="str" cm="1">
        <f t="array" ref="P570">_xlfn.IFS(E570&lt;=2,"&lt;=2",E570&gt;2,"&gt;2")</f>
        <v>&lt;=2</v>
      </c>
    </row>
    <row r="571" spans="1:16">
      <c r="A571" s="2">
        <v>26452</v>
      </c>
      <c r="B571" s="2" t="s">
        <v>28</v>
      </c>
      <c r="C571" s="2" t="s">
        <v>16</v>
      </c>
      <c r="D571" s="6">
        <v>50000</v>
      </c>
      <c r="E571" s="2">
        <v>3</v>
      </c>
      <c r="F571" s="2" t="s">
        <v>37</v>
      </c>
      <c r="G571" s="2" t="s">
        <v>34</v>
      </c>
      <c r="H571" s="2" t="s">
        <v>20</v>
      </c>
      <c r="I571" s="2">
        <v>2</v>
      </c>
      <c r="J571" s="4" t="s">
        <v>36</v>
      </c>
      <c r="K571" s="2" t="s">
        <v>38</v>
      </c>
      <c r="L571" s="2">
        <v>69</v>
      </c>
      <c r="M571" t="str" cm="1">
        <f t="array" ref="M571">_xlfn.IFS(L571&lt;=35,"YOUNG_ADULTS",L571&lt;=55,"MIDDLE_AGED",L571&gt;55,"OLD-AGED")</f>
        <v>OLD-AGED</v>
      </c>
      <c r="O571" t="str" cm="1">
        <f t="array" ref="O571">_xlfn.IFS(D571&lt;=50000,"low income",D571&lt;=100000,"Mid income",D571&gt;100000,"High income")</f>
        <v>low income</v>
      </c>
      <c r="P571" t="str" cm="1">
        <f t="array" ref="P571">_xlfn.IFS(E571&lt;=2,"&lt;=2",E571&gt;2,"&gt;2")</f>
        <v>&gt;2</v>
      </c>
    </row>
    <row r="572" spans="1:16">
      <c r="A572" s="2">
        <v>20370</v>
      </c>
      <c r="B572" s="2" t="s">
        <v>16</v>
      </c>
      <c r="C572" s="2" t="s">
        <v>16</v>
      </c>
      <c r="D572" s="6">
        <v>70000</v>
      </c>
      <c r="E572" s="2">
        <v>3</v>
      </c>
      <c r="F572" s="2" t="s">
        <v>35</v>
      </c>
      <c r="G572" s="2" t="s">
        <v>19</v>
      </c>
      <c r="H572" s="2" t="s">
        <v>20</v>
      </c>
      <c r="I572" s="2">
        <v>2</v>
      </c>
      <c r="J572" s="4" t="s">
        <v>29</v>
      </c>
      <c r="K572" s="2" t="s">
        <v>38</v>
      </c>
      <c r="L572" s="2">
        <v>52</v>
      </c>
      <c r="M572" t="str" cm="1">
        <f t="array" ref="M572">_xlfn.IFS(L572&lt;=35,"YOUNG_ADULTS",L572&lt;=55,"MIDDLE_AGED",L572&gt;55,"OLD-AGED")</f>
        <v>MIDDLE_AGED</v>
      </c>
      <c r="O572" t="str" cm="1">
        <f t="array" ref="O572">_xlfn.IFS(D572&lt;=50000,"low income",D572&lt;=100000,"Mid income",D572&gt;100000,"High income")</f>
        <v>Mid income</v>
      </c>
      <c r="P572" t="str" cm="1">
        <f t="array" ref="P572">_xlfn.IFS(E572&lt;=2,"&lt;=2",E572&gt;2,"&gt;2")</f>
        <v>&gt;2</v>
      </c>
    </row>
    <row r="573" spans="1:16">
      <c r="A573" s="2">
        <v>20528</v>
      </c>
      <c r="B573" s="2" t="s">
        <v>16</v>
      </c>
      <c r="C573" s="2" t="s">
        <v>16</v>
      </c>
      <c r="D573" s="6">
        <v>40000</v>
      </c>
      <c r="E573" s="2">
        <v>2</v>
      </c>
      <c r="F573" s="2" t="s">
        <v>35</v>
      </c>
      <c r="G573" s="2" t="s">
        <v>19</v>
      </c>
      <c r="H573" s="2" t="s">
        <v>20</v>
      </c>
      <c r="I573" s="2">
        <v>2</v>
      </c>
      <c r="J573" s="4" t="s">
        <v>27</v>
      </c>
      <c r="K573" s="2" t="s">
        <v>38</v>
      </c>
      <c r="L573" s="2">
        <v>55</v>
      </c>
      <c r="M573" t="str" cm="1">
        <f t="array" ref="M573">_xlfn.IFS(L573&lt;=35,"YOUNG_ADULTS",L573&lt;=55,"MIDDLE_AGED",L573&gt;55,"OLD-AGED")</f>
        <v>MIDDLE_AGED</v>
      </c>
      <c r="O573" t="str" cm="1">
        <f t="array" ref="O573">_xlfn.IFS(D573&lt;=50000,"low income",D573&lt;=100000,"Mid income",D573&gt;100000,"High income")</f>
        <v>low income</v>
      </c>
      <c r="P573" t="str" cm="1">
        <f t="array" ref="P573">_xlfn.IFS(E573&lt;=2,"&lt;=2",E573&gt;2,"&gt;2")</f>
        <v>&lt;=2</v>
      </c>
    </row>
    <row r="574" spans="1:16">
      <c r="A574" s="2">
        <v>23549</v>
      </c>
      <c r="B574" s="2" t="s">
        <v>28</v>
      </c>
      <c r="C574" s="2" t="s">
        <v>16</v>
      </c>
      <c r="D574" s="6">
        <v>30000</v>
      </c>
      <c r="E574" s="2">
        <v>0</v>
      </c>
      <c r="F574" s="2" t="s">
        <v>33</v>
      </c>
      <c r="G574" s="2" t="s">
        <v>19</v>
      </c>
      <c r="H574" s="2" t="s">
        <v>20</v>
      </c>
      <c r="I574" s="2">
        <v>2</v>
      </c>
      <c r="J574" s="4" t="s">
        <v>29</v>
      </c>
      <c r="K574" s="2" t="s">
        <v>38</v>
      </c>
      <c r="L574" s="2">
        <v>30</v>
      </c>
      <c r="M574" t="str" cm="1">
        <f t="array" ref="M574">_xlfn.IFS(L574&lt;=35,"YOUNG_ADULTS",L574&lt;=55,"MIDDLE_AGED",L574&gt;55,"OLD-AGED")</f>
        <v>YOUNG_ADULTS</v>
      </c>
      <c r="O574" t="str" cm="1">
        <f t="array" ref="O574">_xlfn.IFS(D574&lt;=50000,"low income",D574&lt;=100000,"Mid income",D574&gt;100000,"High income")</f>
        <v>low income</v>
      </c>
      <c r="P574" t="str" cm="1">
        <f t="array" ref="P574">_xlfn.IFS(E574&lt;=2,"&lt;=2",E574&gt;2,"&gt;2")</f>
        <v>&lt;=2</v>
      </c>
    </row>
    <row r="575" spans="1:16">
      <c r="A575" s="2">
        <v>21751</v>
      </c>
      <c r="B575" s="2" t="s">
        <v>16</v>
      </c>
      <c r="C575" s="2" t="s">
        <v>16</v>
      </c>
      <c r="D575" s="6">
        <v>60000</v>
      </c>
      <c r="E575" s="2">
        <v>3</v>
      </c>
      <c r="F575" s="2" t="s">
        <v>37</v>
      </c>
      <c r="G575" s="2" t="s">
        <v>34</v>
      </c>
      <c r="H575" s="2" t="s">
        <v>20</v>
      </c>
      <c r="I575" s="2">
        <v>2</v>
      </c>
      <c r="J575" s="4" t="s">
        <v>32</v>
      </c>
      <c r="K575" s="2" t="s">
        <v>38</v>
      </c>
      <c r="L575" s="2">
        <v>63</v>
      </c>
      <c r="M575" t="str" cm="1">
        <f t="array" ref="M575">_xlfn.IFS(L575&lt;=35,"YOUNG_ADULTS",L575&lt;=55,"MIDDLE_AGED",L575&gt;55,"OLD-AGED")</f>
        <v>OLD-AGED</v>
      </c>
      <c r="O575" t="str" cm="1">
        <f t="array" ref="O575">_xlfn.IFS(D575&lt;=50000,"low income",D575&lt;=100000,"Mid income",D575&gt;100000,"High income")</f>
        <v>Mid income</v>
      </c>
      <c r="P575" t="str" cm="1">
        <f t="array" ref="P575">_xlfn.IFS(E575&lt;=2,"&lt;=2",E575&gt;2,"&gt;2")</f>
        <v>&gt;2</v>
      </c>
    </row>
    <row r="576" spans="1:16">
      <c r="A576" s="2">
        <v>21266</v>
      </c>
      <c r="B576" s="2" t="s">
        <v>28</v>
      </c>
      <c r="C576" s="2" t="s">
        <v>17</v>
      </c>
      <c r="D576" s="6">
        <v>80000</v>
      </c>
      <c r="E576" s="2">
        <v>0</v>
      </c>
      <c r="F576" s="2" t="s">
        <v>18</v>
      </c>
      <c r="G576" s="2" t="s">
        <v>34</v>
      </c>
      <c r="H576" s="2" t="s">
        <v>20</v>
      </c>
      <c r="I576" s="2">
        <v>1</v>
      </c>
      <c r="J576" s="4" t="s">
        <v>32</v>
      </c>
      <c r="K576" s="2" t="s">
        <v>38</v>
      </c>
      <c r="L576" s="2">
        <v>34</v>
      </c>
      <c r="M576" t="str" cm="1">
        <f t="array" ref="M576">_xlfn.IFS(L576&lt;=35,"YOUNG_ADULTS",L576&lt;=55,"MIDDLE_AGED",L576&gt;55,"OLD-AGED")</f>
        <v>YOUNG_ADULTS</v>
      </c>
      <c r="N576" s="2" t="s">
        <v>20</v>
      </c>
      <c r="O576" t="str" cm="1">
        <f t="array" ref="O576">_xlfn.IFS(D576&lt;=50000,"low income",D576&lt;=100000,"Mid income",D576&gt;100000,"High income")</f>
        <v>Mid income</v>
      </c>
      <c r="P576" t="str" cm="1">
        <f t="array" ref="P576">_xlfn.IFS(E576&lt;=2,"&lt;=2",E576&gt;2,"&gt;2")</f>
        <v>&lt;=2</v>
      </c>
    </row>
    <row r="577" spans="1:16">
      <c r="A577" s="2">
        <v>13388</v>
      </c>
      <c r="B577" s="2" t="s">
        <v>28</v>
      </c>
      <c r="C577" s="2" t="s">
        <v>16</v>
      </c>
      <c r="D577" s="6">
        <v>60000</v>
      </c>
      <c r="E577" s="2">
        <v>2</v>
      </c>
      <c r="F577" s="2" t="s">
        <v>23</v>
      </c>
      <c r="G577" s="2" t="s">
        <v>25</v>
      </c>
      <c r="H577" s="2" t="s">
        <v>20</v>
      </c>
      <c r="I577" s="2">
        <v>1</v>
      </c>
      <c r="J577" s="4" t="s">
        <v>36</v>
      </c>
      <c r="K577" s="2" t="s">
        <v>38</v>
      </c>
      <c r="L577" s="2">
        <v>56</v>
      </c>
      <c r="M577" t="str" cm="1">
        <f t="array" ref="M577">_xlfn.IFS(L577&lt;=35,"YOUNG_ADULTS",L577&lt;=55,"MIDDLE_AGED",L577&gt;55,"OLD-AGED")</f>
        <v>OLD-AGED</v>
      </c>
      <c r="O577" t="str" cm="1">
        <f t="array" ref="O577">_xlfn.IFS(D577&lt;=50000,"low income",D577&lt;=100000,"Mid income",D577&gt;100000,"High income")</f>
        <v>Mid income</v>
      </c>
      <c r="P577" t="str" cm="1">
        <f t="array" ref="P577">_xlfn.IFS(E577&lt;=2,"&lt;=2",E577&gt;2,"&gt;2")</f>
        <v>&lt;=2</v>
      </c>
    </row>
    <row r="578" spans="1:16">
      <c r="A578" s="2">
        <v>18752</v>
      </c>
      <c r="B578" s="2" t="s">
        <v>28</v>
      </c>
      <c r="C578" s="2" t="s">
        <v>17</v>
      </c>
      <c r="D578" s="6">
        <v>40000</v>
      </c>
      <c r="E578" s="2">
        <v>0</v>
      </c>
      <c r="F578" s="2" t="s">
        <v>33</v>
      </c>
      <c r="G578" s="2" t="s">
        <v>19</v>
      </c>
      <c r="H578" s="2" t="s">
        <v>20</v>
      </c>
      <c r="I578" s="2">
        <v>1</v>
      </c>
      <c r="J578" s="4" t="s">
        <v>29</v>
      </c>
      <c r="K578" s="2" t="s">
        <v>38</v>
      </c>
      <c r="L578" s="2">
        <v>31</v>
      </c>
      <c r="M578" t="str" cm="1">
        <f t="array" ref="M578">_xlfn.IFS(L578&lt;=35,"YOUNG_ADULTS",L578&lt;=55,"MIDDLE_AGED",L578&gt;55,"OLD-AGED")</f>
        <v>YOUNG_ADULTS</v>
      </c>
      <c r="O578" t="str" cm="1">
        <f t="array" ref="O578">_xlfn.IFS(D578&lt;=50000,"low income",D578&lt;=100000,"Mid income",D578&gt;100000,"High income")</f>
        <v>low income</v>
      </c>
      <c r="P578" t="str" cm="1">
        <f t="array" ref="P578">_xlfn.IFS(E578&lt;=2,"&lt;=2",E578&gt;2,"&gt;2")</f>
        <v>&lt;=2</v>
      </c>
    </row>
    <row r="579" spans="1:16">
      <c r="A579" s="2">
        <v>16917</v>
      </c>
      <c r="B579" s="2" t="s">
        <v>16</v>
      </c>
      <c r="C579" s="2" t="s">
        <v>16</v>
      </c>
      <c r="D579" s="6">
        <v>120000</v>
      </c>
      <c r="E579" s="2">
        <v>1</v>
      </c>
      <c r="F579" s="2" t="s">
        <v>18</v>
      </c>
      <c r="G579" s="2" t="s">
        <v>34</v>
      </c>
      <c r="H579" s="2" t="s">
        <v>20</v>
      </c>
      <c r="I579" s="2">
        <v>4</v>
      </c>
      <c r="J579" s="4" t="s">
        <v>21</v>
      </c>
      <c r="K579" s="2" t="s">
        <v>38</v>
      </c>
      <c r="L579" s="2">
        <v>38</v>
      </c>
      <c r="M579" t="str" cm="1">
        <f t="array" ref="M579">_xlfn.IFS(L579&lt;=35,"YOUNG_ADULTS",L579&lt;=55,"MIDDLE_AGED",L579&gt;55,"OLD-AGED")</f>
        <v>MIDDLE_AGED</v>
      </c>
      <c r="O579" t="str" cm="1">
        <f t="array" ref="O579">_xlfn.IFS(D579&lt;=50000,"low income",D579&lt;=100000,"Mid income",D579&gt;100000,"High income")</f>
        <v>High income</v>
      </c>
      <c r="P579" t="str" cm="1">
        <f t="array" ref="P579">_xlfn.IFS(E579&lt;=2,"&lt;=2",E579&gt;2,"&gt;2")</f>
        <v>&lt;=2</v>
      </c>
    </row>
    <row r="580" spans="1:16">
      <c r="A580" s="2">
        <v>15313</v>
      </c>
      <c r="B580" s="2" t="s">
        <v>16</v>
      </c>
      <c r="C580" s="2" t="s">
        <v>16</v>
      </c>
      <c r="D580" s="6">
        <v>60000</v>
      </c>
      <c r="E580" s="2">
        <v>4</v>
      </c>
      <c r="F580" s="2" t="s">
        <v>18</v>
      </c>
      <c r="G580" s="2" t="s">
        <v>34</v>
      </c>
      <c r="H580" s="2" t="s">
        <v>20</v>
      </c>
      <c r="I580" s="2">
        <v>2</v>
      </c>
      <c r="J580" s="4" t="s">
        <v>27</v>
      </c>
      <c r="K580" s="2" t="s">
        <v>38</v>
      </c>
      <c r="L580" s="2">
        <v>59</v>
      </c>
      <c r="M580" t="str" cm="1">
        <f t="array" ref="M580">_xlfn.IFS(L580&lt;=35,"YOUNG_ADULTS",L580&lt;=55,"MIDDLE_AGED",L580&gt;55,"OLD-AGED")</f>
        <v>OLD-AGED</v>
      </c>
      <c r="O580" t="str" cm="1">
        <f t="array" ref="O580">_xlfn.IFS(D580&lt;=50000,"low income",D580&lt;=100000,"Mid income",D580&gt;100000,"High income")</f>
        <v>Mid income</v>
      </c>
      <c r="P580" t="str" cm="1">
        <f t="array" ref="P580">_xlfn.IFS(E580&lt;=2,"&lt;=2",E580&gt;2,"&gt;2")</f>
        <v>&gt;2</v>
      </c>
    </row>
    <row r="581" spans="1:16">
      <c r="A581" s="2">
        <v>25329</v>
      </c>
      <c r="B581" s="2" t="s">
        <v>28</v>
      </c>
      <c r="C581" s="2" t="s">
        <v>17</v>
      </c>
      <c r="D581" s="6">
        <v>40000</v>
      </c>
      <c r="E581" s="2">
        <v>3</v>
      </c>
      <c r="F581" s="2" t="s">
        <v>23</v>
      </c>
      <c r="G581" s="2" t="s">
        <v>24</v>
      </c>
      <c r="H581" s="2" t="s">
        <v>26</v>
      </c>
      <c r="I581" s="2">
        <v>2</v>
      </c>
      <c r="J581" s="4" t="s">
        <v>21</v>
      </c>
      <c r="K581" s="2" t="s">
        <v>38</v>
      </c>
      <c r="L581" s="2">
        <v>32</v>
      </c>
      <c r="M581" t="str" cm="1">
        <f t="array" ref="M581">_xlfn.IFS(L581&lt;=35,"YOUNG_ADULTS",L581&lt;=55,"MIDDLE_AGED",L581&gt;55,"OLD-AGED")</f>
        <v>YOUNG_ADULTS</v>
      </c>
      <c r="O581" t="str" cm="1">
        <f t="array" ref="O581">_xlfn.IFS(D581&lt;=50000,"low income",D581&lt;=100000,"Mid income",D581&gt;100000,"High income")</f>
        <v>low income</v>
      </c>
      <c r="P581" t="str" cm="1">
        <f t="array" ref="P581">_xlfn.IFS(E581&lt;=2,"&lt;=2",E581&gt;2,"&gt;2")</f>
        <v>&gt;2</v>
      </c>
    </row>
    <row r="582" spans="1:16">
      <c r="A582" s="2">
        <v>20380</v>
      </c>
      <c r="B582" s="2" t="s">
        <v>16</v>
      </c>
      <c r="C582" s="2" t="s">
        <v>17</v>
      </c>
      <c r="D582" s="6">
        <v>60000</v>
      </c>
      <c r="E582" s="2">
        <v>3</v>
      </c>
      <c r="F582" s="2" t="s">
        <v>37</v>
      </c>
      <c r="G582" s="2" t="s">
        <v>34</v>
      </c>
      <c r="H582" s="2" t="s">
        <v>20</v>
      </c>
      <c r="I582" s="2">
        <v>2</v>
      </c>
      <c r="J582" s="4" t="s">
        <v>36</v>
      </c>
      <c r="K582" s="2" t="s">
        <v>38</v>
      </c>
      <c r="L582" s="2">
        <v>69</v>
      </c>
      <c r="M582" t="str" cm="1">
        <f t="array" ref="M582">_xlfn.IFS(L582&lt;=35,"YOUNG_ADULTS",L582&lt;=55,"MIDDLE_AGED",L582&gt;55,"OLD-AGED")</f>
        <v>OLD-AGED</v>
      </c>
      <c r="O582" t="str" cm="1">
        <f t="array" ref="O582">_xlfn.IFS(D582&lt;=50000,"low income",D582&lt;=100000,"Mid income",D582&gt;100000,"High income")</f>
        <v>Mid income</v>
      </c>
      <c r="P582" t="str" cm="1">
        <f t="array" ref="P582">_xlfn.IFS(E582&lt;=2,"&lt;=2",E582&gt;2,"&gt;2")</f>
        <v>&gt;2</v>
      </c>
    </row>
    <row r="583" spans="1:16">
      <c r="A583" s="2">
        <v>23089</v>
      </c>
      <c r="B583" s="2" t="s">
        <v>16</v>
      </c>
      <c r="C583" s="2" t="s">
        <v>16</v>
      </c>
      <c r="D583" s="6">
        <v>40000</v>
      </c>
      <c r="E583" s="2">
        <v>0</v>
      </c>
      <c r="F583" s="2" t="s">
        <v>23</v>
      </c>
      <c r="G583" s="2" t="s">
        <v>19</v>
      </c>
      <c r="H583" s="2" t="s">
        <v>20</v>
      </c>
      <c r="I583" s="2">
        <v>1</v>
      </c>
      <c r="J583" s="4" t="s">
        <v>29</v>
      </c>
      <c r="K583" s="2" t="s">
        <v>38</v>
      </c>
      <c r="L583" s="2">
        <v>28</v>
      </c>
      <c r="M583" t="str" cm="1">
        <f t="array" ref="M583">_xlfn.IFS(L583&lt;=35,"YOUNG_ADULTS",L583&lt;=55,"MIDDLE_AGED",L583&gt;55,"OLD-AGED")</f>
        <v>YOUNG_ADULTS</v>
      </c>
      <c r="O583" t="str" cm="1">
        <f t="array" ref="O583">_xlfn.IFS(D583&lt;=50000,"low income",D583&lt;=100000,"Mid income",D583&gt;100000,"High income")</f>
        <v>low income</v>
      </c>
      <c r="P583" t="str" cm="1">
        <f t="array" ref="P583">_xlfn.IFS(E583&lt;=2,"&lt;=2",E583&gt;2,"&gt;2")</f>
        <v>&lt;=2</v>
      </c>
    </row>
    <row r="584" spans="1:16">
      <c r="A584" s="2">
        <v>13749</v>
      </c>
      <c r="B584" s="2" t="s">
        <v>16</v>
      </c>
      <c r="C584" s="2" t="s">
        <v>16</v>
      </c>
      <c r="D584" s="6">
        <v>80000</v>
      </c>
      <c r="E584" s="2">
        <v>4</v>
      </c>
      <c r="F584" s="2" t="s">
        <v>37</v>
      </c>
      <c r="G584" s="2" t="s">
        <v>19</v>
      </c>
      <c r="H584" s="2" t="s">
        <v>20</v>
      </c>
      <c r="I584" s="2">
        <v>0</v>
      </c>
      <c r="J584" s="4" t="s">
        <v>32</v>
      </c>
      <c r="K584" s="2" t="s">
        <v>38</v>
      </c>
      <c r="L584" s="2">
        <v>47</v>
      </c>
      <c r="M584" t="str" cm="1">
        <f t="array" ref="M584">_xlfn.IFS(L584&lt;=35,"YOUNG_ADULTS",L584&lt;=55,"MIDDLE_AGED",L584&gt;55,"OLD-AGED")</f>
        <v>MIDDLE_AGED</v>
      </c>
      <c r="O584" t="str" cm="1">
        <f t="array" ref="O584">_xlfn.IFS(D584&lt;=50000,"low income",D584&lt;=100000,"Mid income",D584&gt;100000,"High income")</f>
        <v>Mid income</v>
      </c>
      <c r="P584" t="str" cm="1">
        <f t="array" ref="P584">_xlfn.IFS(E584&lt;=2,"&lt;=2",E584&gt;2,"&gt;2")</f>
        <v>&gt;2</v>
      </c>
    </row>
    <row r="585" spans="1:16">
      <c r="A585" s="2">
        <v>24943</v>
      </c>
      <c r="B585" s="2" t="s">
        <v>16</v>
      </c>
      <c r="C585" s="2" t="s">
        <v>16</v>
      </c>
      <c r="D585" s="6">
        <v>60000</v>
      </c>
      <c r="E585" s="2">
        <v>3</v>
      </c>
      <c r="F585" s="2" t="s">
        <v>18</v>
      </c>
      <c r="G585" s="2" t="s">
        <v>34</v>
      </c>
      <c r="H585" s="2" t="s">
        <v>20</v>
      </c>
      <c r="I585" s="2">
        <v>2</v>
      </c>
      <c r="J585" s="4" t="s">
        <v>36</v>
      </c>
      <c r="K585" s="2" t="s">
        <v>38</v>
      </c>
      <c r="L585" s="2">
        <v>66</v>
      </c>
      <c r="M585" t="str" cm="1">
        <f t="array" ref="M585">_xlfn.IFS(L585&lt;=35,"YOUNG_ADULTS",L585&lt;=55,"MIDDLE_AGED",L585&gt;55,"OLD-AGED")</f>
        <v>OLD-AGED</v>
      </c>
      <c r="O585" t="str" cm="1">
        <f t="array" ref="O585">_xlfn.IFS(D585&lt;=50000,"low income",D585&lt;=100000,"Mid income",D585&gt;100000,"High income")</f>
        <v>Mid income</v>
      </c>
      <c r="P585" t="str" cm="1">
        <f t="array" ref="P585">_xlfn.IFS(E585&lt;=2,"&lt;=2",E585&gt;2,"&gt;2")</f>
        <v>&gt;2</v>
      </c>
    </row>
    <row r="586" spans="1:16">
      <c r="A586" s="2">
        <v>28667</v>
      </c>
      <c r="B586" s="2" t="s">
        <v>28</v>
      </c>
      <c r="C586" s="2" t="s">
        <v>16</v>
      </c>
      <c r="D586" s="6">
        <v>70000</v>
      </c>
      <c r="E586" s="2">
        <v>2</v>
      </c>
      <c r="F586" s="2" t="s">
        <v>18</v>
      </c>
      <c r="G586" s="2" t="s">
        <v>19</v>
      </c>
      <c r="H586" s="2" t="s">
        <v>26</v>
      </c>
      <c r="I586" s="2">
        <v>1</v>
      </c>
      <c r="J586" s="4" t="s">
        <v>21</v>
      </c>
      <c r="K586" s="2" t="s">
        <v>38</v>
      </c>
      <c r="L586" s="2">
        <v>37</v>
      </c>
      <c r="M586" t="str" cm="1">
        <f t="array" ref="M586">_xlfn.IFS(L586&lt;=35,"YOUNG_ADULTS",L586&lt;=55,"MIDDLE_AGED",L586&gt;55,"OLD-AGED")</f>
        <v>MIDDLE_AGED</v>
      </c>
      <c r="N586" s="2" t="s">
        <v>20</v>
      </c>
      <c r="O586" t="str" cm="1">
        <f t="array" ref="O586">_xlfn.IFS(D586&lt;=50000,"low income",D586&lt;=100000,"Mid income",D586&gt;100000,"High income")</f>
        <v>Mid income</v>
      </c>
      <c r="P586" t="str" cm="1">
        <f t="array" ref="P586">_xlfn.IFS(E586&lt;=2,"&lt;=2",E586&gt;2,"&gt;2")</f>
        <v>&lt;=2</v>
      </c>
    </row>
    <row r="587" spans="1:16">
      <c r="A587" s="2">
        <v>15194</v>
      </c>
      <c r="B587" s="2" t="s">
        <v>28</v>
      </c>
      <c r="C587" s="2" t="s">
        <v>16</v>
      </c>
      <c r="D587" s="6">
        <v>120000</v>
      </c>
      <c r="E587" s="2">
        <v>2</v>
      </c>
      <c r="F587" s="2" t="s">
        <v>18</v>
      </c>
      <c r="G587" s="2" t="s">
        <v>34</v>
      </c>
      <c r="H587" s="2" t="s">
        <v>26</v>
      </c>
      <c r="I587" s="2">
        <v>3</v>
      </c>
      <c r="J587" s="4" t="s">
        <v>21</v>
      </c>
      <c r="K587" s="2" t="s">
        <v>38</v>
      </c>
      <c r="L587" s="2">
        <v>39</v>
      </c>
      <c r="M587" t="str" cm="1">
        <f t="array" ref="M587">_xlfn.IFS(L587&lt;=35,"YOUNG_ADULTS",L587&lt;=55,"MIDDLE_AGED",L587&gt;55,"OLD-AGED")</f>
        <v>MIDDLE_AGED</v>
      </c>
      <c r="N587" s="2" t="s">
        <v>20</v>
      </c>
      <c r="O587" t="str" cm="1">
        <f t="array" ref="O587">_xlfn.IFS(D587&lt;=50000,"low income",D587&lt;=100000,"Mid income",D587&gt;100000,"High income")</f>
        <v>High income</v>
      </c>
      <c r="P587" t="str" cm="1">
        <f t="array" ref="P587">_xlfn.IFS(E587&lt;=2,"&lt;=2",E587&gt;2,"&gt;2")</f>
        <v>&lt;=2</v>
      </c>
    </row>
    <row r="588" spans="1:16">
      <c r="A588" s="2">
        <v>17436</v>
      </c>
      <c r="B588" s="2" t="s">
        <v>16</v>
      </c>
      <c r="C588" s="2" t="s">
        <v>16</v>
      </c>
      <c r="D588" s="6">
        <v>60000</v>
      </c>
      <c r="E588" s="2">
        <v>2</v>
      </c>
      <c r="F588" s="2" t="s">
        <v>33</v>
      </c>
      <c r="G588" s="2" t="s">
        <v>25</v>
      </c>
      <c r="H588" s="2" t="s">
        <v>26</v>
      </c>
      <c r="I588" s="2">
        <v>2</v>
      </c>
      <c r="J588" s="4" t="s">
        <v>32</v>
      </c>
      <c r="K588" s="2" t="s">
        <v>38</v>
      </c>
      <c r="L588" s="2">
        <v>51</v>
      </c>
      <c r="M588" t="str" cm="1">
        <f t="array" ref="M588">_xlfn.IFS(L588&lt;=35,"YOUNG_ADULTS",L588&lt;=55,"MIDDLE_AGED",L588&gt;55,"OLD-AGED")</f>
        <v>MIDDLE_AGED</v>
      </c>
      <c r="O588" t="str" cm="1">
        <f t="array" ref="O588">_xlfn.IFS(D588&lt;=50000,"low income",D588&lt;=100000,"Mid income",D588&gt;100000,"High income")</f>
        <v>Mid income</v>
      </c>
      <c r="P588" t="str" cm="1">
        <f t="array" ref="P588">_xlfn.IFS(E588&lt;=2,"&lt;=2",E588&gt;2,"&gt;2")</f>
        <v>&lt;=2</v>
      </c>
    </row>
    <row r="589" spans="1:16">
      <c r="A589" s="2">
        <v>18935</v>
      </c>
      <c r="B589" s="2" t="s">
        <v>16</v>
      </c>
      <c r="C589" s="2" t="s">
        <v>17</v>
      </c>
      <c r="D589" s="6">
        <v>130000</v>
      </c>
      <c r="E589" s="2">
        <v>0</v>
      </c>
      <c r="F589" s="2" t="s">
        <v>37</v>
      </c>
      <c r="G589" s="2" t="s">
        <v>34</v>
      </c>
      <c r="H589" s="2" t="s">
        <v>20</v>
      </c>
      <c r="I589" s="2">
        <v>3</v>
      </c>
      <c r="J589" s="4" t="s">
        <v>32</v>
      </c>
      <c r="K589" s="2" t="s">
        <v>38</v>
      </c>
      <c r="L589" s="2">
        <v>40</v>
      </c>
      <c r="M589" t="str" cm="1">
        <f t="array" ref="M589">_xlfn.IFS(L589&lt;=35,"YOUNG_ADULTS",L589&lt;=55,"MIDDLE_AGED",L589&gt;55,"OLD-AGED")</f>
        <v>MIDDLE_AGED</v>
      </c>
      <c r="O589" t="str" cm="1">
        <f t="array" ref="O589">_xlfn.IFS(D589&lt;=50000,"low income",D589&lt;=100000,"Mid income",D589&gt;100000,"High income")</f>
        <v>High income</v>
      </c>
      <c r="P589" t="str" cm="1">
        <f t="array" ref="P589">_xlfn.IFS(E589&lt;=2,"&lt;=2",E589&gt;2,"&gt;2")</f>
        <v>&lt;=2</v>
      </c>
    </row>
    <row r="590" spans="1:16">
      <c r="A590" s="2">
        <v>16871</v>
      </c>
      <c r="B590" s="2" t="s">
        <v>16</v>
      </c>
      <c r="C590" s="2" t="s">
        <v>17</v>
      </c>
      <c r="D590" s="6">
        <v>90000</v>
      </c>
      <c r="E590" s="2">
        <v>2</v>
      </c>
      <c r="F590" s="2" t="s">
        <v>33</v>
      </c>
      <c r="G590" s="2" t="s">
        <v>25</v>
      </c>
      <c r="H590" s="2" t="s">
        <v>20</v>
      </c>
      <c r="I590" s="2">
        <v>1</v>
      </c>
      <c r="J590" s="4" t="s">
        <v>36</v>
      </c>
      <c r="K590" s="2" t="s">
        <v>38</v>
      </c>
      <c r="L590" s="2">
        <v>51</v>
      </c>
      <c r="M590" t="str" cm="1">
        <f t="array" ref="M590">_xlfn.IFS(L590&lt;=35,"YOUNG_ADULTS",L590&lt;=55,"MIDDLE_AGED",L590&gt;55,"OLD-AGED")</f>
        <v>MIDDLE_AGED</v>
      </c>
      <c r="N590" s="2" t="s">
        <v>20</v>
      </c>
      <c r="O590" t="str" cm="1">
        <f t="array" ref="O590">_xlfn.IFS(D590&lt;=50000,"low income",D590&lt;=100000,"Mid income",D590&gt;100000,"High income")</f>
        <v>Mid income</v>
      </c>
      <c r="P590" t="str" cm="1">
        <f t="array" ref="P590">_xlfn.IFS(E590&lt;=2,"&lt;=2",E590&gt;2,"&gt;2")</f>
        <v>&lt;=2</v>
      </c>
    </row>
    <row r="591" spans="1:16">
      <c r="A591" s="2">
        <v>12100</v>
      </c>
      <c r="B591" s="2" t="s">
        <v>28</v>
      </c>
      <c r="C591" s="2" t="s">
        <v>16</v>
      </c>
      <c r="D591" s="6">
        <v>60000</v>
      </c>
      <c r="E591" s="2">
        <v>2</v>
      </c>
      <c r="F591" s="2" t="s">
        <v>18</v>
      </c>
      <c r="G591" s="2" t="s">
        <v>34</v>
      </c>
      <c r="H591" s="2" t="s">
        <v>20</v>
      </c>
      <c r="I591" s="2">
        <v>0</v>
      </c>
      <c r="J591" s="4" t="s">
        <v>36</v>
      </c>
      <c r="K591" s="2" t="s">
        <v>38</v>
      </c>
      <c r="L591" s="2">
        <v>57</v>
      </c>
      <c r="M591" t="str" cm="1">
        <f t="array" ref="M591">_xlfn.IFS(L591&lt;=35,"YOUNG_ADULTS",L591&lt;=55,"MIDDLE_AGED",L591&gt;55,"OLD-AGED")</f>
        <v>OLD-AGED</v>
      </c>
      <c r="O591" t="str" cm="1">
        <f t="array" ref="O591">_xlfn.IFS(D591&lt;=50000,"low income",D591&lt;=100000,"Mid income",D591&gt;100000,"High income")</f>
        <v>Mid income</v>
      </c>
      <c r="P591" t="str" cm="1">
        <f t="array" ref="P591">_xlfn.IFS(E591&lt;=2,"&lt;=2",E591&gt;2,"&gt;2")</f>
        <v>&lt;=2</v>
      </c>
    </row>
    <row r="592" spans="1:16">
      <c r="A592" s="2">
        <v>23158</v>
      </c>
      <c r="B592" s="2" t="s">
        <v>16</v>
      </c>
      <c r="C592" s="2" t="s">
        <v>17</v>
      </c>
      <c r="D592" s="6">
        <v>60000</v>
      </c>
      <c r="E592" s="2">
        <v>1</v>
      </c>
      <c r="F592" s="2" t="s">
        <v>37</v>
      </c>
      <c r="G592" s="2" t="s">
        <v>25</v>
      </c>
      <c r="H592" s="2" t="s">
        <v>26</v>
      </c>
      <c r="I592" s="2">
        <v>0</v>
      </c>
      <c r="J592" s="4" t="s">
        <v>21</v>
      </c>
      <c r="K592" s="2" t="s">
        <v>38</v>
      </c>
      <c r="L592" s="2">
        <v>35</v>
      </c>
      <c r="M592" t="str" cm="1">
        <f t="array" ref="M592">_xlfn.IFS(L592&lt;=35,"YOUNG_ADULTS",L592&lt;=55,"MIDDLE_AGED",L592&gt;55,"OLD-AGED")</f>
        <v>YOUNG_ADULTS</v>
      </c>
      <c r="N592" s="2" t="s">
        <v>20</v>
      </c>
      <c r="O592" t="str" cm="1">
        <f t="array" ref="O592">_xlfn.IFS(D592&lt;=50000,"low income",D592&lt;=100000,"Mid income",D592&gt;100000,"High income")</f>
        <v>Mid income</v>
      </c>
      <c r="P592" t="str" cm="1">
        <f t="array" ref="P592">_xlfn.IFS(E592&lt;=2,"&lt;=2",E592&gt;2,"&gt;2")</f>
        <v>&lt;=2</v>
      </c>
    </row>
    <row r="593" spans="1:16">
      <c r="A593" s="2">
        <v>18545</v>
      </c>
      <c r="B593" s="2" t="s">
        <v>16</v>
      </c>
      <c r="C593" s="2" t="s">
        <v>16</v>
      </c>
      <c r="D593" s="6">
        <v>40000</v>
      </c>
      <c r="E593" s="2">
        <v>4</v>
      </c>
      <c r="F593" s="2" t="s">
        <v>33</v>
      </c>
      <c r="G593" s="2" t="s">
        <v>25</v>
      </c>
      <c r="H593" s="2" t="s">
        <v>26</v>
      </c>
      <c r="I593" s="2">
        <v>2</v>
      </c>
      <c r="J593" s="4" t="s">
        <v>36</v>
      </c>
      <c r="K593" s="2" t="s">
        <v>38</v>
      </c>
      <c r="L593" s="2">
        <v>61</v>
      </c>
      <c r="M593" t="str" cm="1">
        <f t="array" ref="M593">_xlfn.IFS(L593&lt;=35,"YOUNG_ADULTS",L593&lt;=55,"MIDDLE_AGED",L593&gt;55,"OLD-AGED")</f>
        <v>OLD-AGED</v>
      </c>
      <c r="N593" s="2" t="s">
        <v>20</v>
      </c>
      <c r="O593" t="str" cm="1">
        <f t="array" ref="O593">_xlfn.IFS(D593&lt;=50000,"low income",D593&lt;=100000,"Mid income",D593&gt;100000,"High income")</f>
        <v>low income</v>
      </c>
      <c r="P593" t="str" cm="1">
        <f t="array" ref="P593">_xlfn.IFS(E593&lt;=2,"&lt;=2",E593&gt;2,"&gt;2")</f>
        <v>&gt;2</v>
      </c>
    </row>
    <row r="594" spans="1:16">
      <c r="A594" s="2">
        <v>18391</v>
      </c>
      <c r="B594" s="2" t="s">
        <v>28</v>
      </c>
      <c r="C594" s="2" t="s">
        <v>17</v>
      </c>
      <c r="D594" s="6">
        <v>80000</v>
      </c>
      <c r="E594" s="2">
        <v>5</v>
      </c>
      <c r="F594" s="2" t="s">
        <v>23</v>
      </c>
      <c r="G594" s="2" t="s">
        <v>25</v>
      </c>
      <c r="H594" s="2" t="s">
        <v>20</v>
      </c>
      <c r="I594" s="2">
        <v>2</v>
      </c>
      <c r="J594" s="4" t="s">
        <v>29</v>
      </c>
      <c r="K594" s="2" t="s">
        <v>38</v>
      </c>
      <c r="L594" s="2">
        <v>44</v>
      </c>
      <c r="M594" t="str" cm="1">
        <f t="array" ref="M594">_xlfn.IFS(L594&lt;=35,"YOUNG_ADULTS",L594&lt;=55,"MIDDLE_AGED",L594&gt;55,"OLD-AGED")</f>
        <v>MIDDLE_AGED</v>
      </c>
      <c r="O594" t="str" cm="1">
        <f t="array" ref="O594">_xlfn.IFS(D594&lt;=50000,"low income",D594&lt;=100000,"Mid income",D594&gt;100000,"High income")</f>
        <v>Mid income</v>
      </c>
      <c r="P594" t="str" cm="1">
        <f t="array" ref="P594">_xlfn.IFS(E594&lt;=2,"&lt;=2",E594&gt;2,"&gt;2")</f>
        <v>&gt;2</v>
      </c>
    </row>
    <row r="595" spans="1:16">
      <c r="A595" s="2">
        <v>19812</v>
      </c>
      <c r="B595" s="2" t="s">
        <v>28</v>
      </c>
      <c r="C595" s="2" t="s">
        <v>17</v>
      </c>
      <c r="D595" s="6">
        <v>70000</v>
      </c>
      <c r="E595" s="2">
        <v>2</v>
      </c>
      <c r="F595" s="2" t="s">
        <v>23</v>
      </c>
      <c r="G595" s="2" t="s">
        <v>25</v>
      </c>
      <c r="H595" s="2" t="s">
        <v>20</v>
      </c>
      <c r="I595" s="2">
        <v>0</v>
      </c>
      <c r="J595" s="4" t="s">
        <v>29</v>
      </c>
      <c r="K595" s="2" t="s">
        <v>38</v>
      </c>
      <c r="L595" s="2">
        <v>49</v>
      </c>
      <c r="M595" t="str" cm="1">
        <f t="array" ref="M595">_xlfn.IFS(L595&lt;=35,"YOUNG_ADULTS",L595&lt;=55,"MIDDLE_AGED",L595&gt;55,"OLD-AGED")</f>
        <v>MIDDLE_AGED</v>
      </c>
      <c r="N595" s="2" t="s">
        <v>20</v>
      </c>
      <c r="O595" t="str" cm="1">
        <f t="array" ref="O595">_xlfn.IFS(D595&lt;=50000,"low income",D595&lt;=100000,"Mid income",D595&gt;100000,"High income")</f>
        <v>Mid income</v>
      </c>
      <c r="P595" t="str" cm="1">
        <f t="array" ref="P595">_xlfn.IFS(E595&lt;=2,"&lt;=2",E595&gt;2,"&gt;2")</f>
        <v>&lt;=2</v>
      </c>
    </row>
    <row r="596" spans="1:16">
      <c r="A596" s="2">
        <v>27660</v>
      </c>
      <c r="B596" s="2" t="s">
        <v>16</v>
      </c>
      <c r="C596" s="2" t="s">
        <v>16</v>
      </c>
      <c r="D596" s="6">
        <v>80000</v>
      </c>
      <c r="E596" s="2">
        <v>4</v>
      </c>
      <c r="F596" s="2" t="s">
        <v>37</v>
      </c>
      <c r="G596" s="2" t="s">
        <v>34</v>
      </c>
      <c r="H596" s="2" t="s">
        <v>20</v>
      </c>
      <c r="I596" s="2">
        <v>2</v>
      </c>
      <c r="J596" s="4" t="s">
        <v>29</v>
      </c>
      <c r="K596" s="2" t="s">
        <v>38</v>
      </c>
      <c r="L596" s="2">
        <v>70</v>
      </c>
      <c r="M596" t="str" cm="1">
        <f t="array" ref="M596">_xlfn.IFS(L596&lt;=35,"YOUNG_ADULTS",L596&lt;=55,"MIDDLE_AGED",L596&gt;55,"OLD-AGED")</f>
        <v>OLD-AGED</v>
      </c>
      <c r="O596" t="str" cm="1">
        <f t="array" ref="O596">_xlfn.IFS(D596&lt;=50000,"low income",D596&lt;=100000,"Mid income",D596&gt;100000,"High income")</f>
        <v>Mid income</v>
      </c>
      <c r="P596" t="str" cm="1">
        <f t="array" ref="P596">_xlfn.IFS(E596&lt;=2,"&lt;=2",E596&gt;2,"&gt;2")</f>
        <v>&gt;2</v>
      </c>
    </row>
    <row r="597" spans="1:16">
      <c r="A597" s="2">
        <v>18058</v>
      </c>
      <c r="B597" s="2" t="s">
        <v>28</v>
      </c>
      <c r="C597" s="2" t="s">
        <v>17</v>
      </c>
      <c r="D597" s="6">
        <v>20000</v>
      </c>
      <c r="E597" s="2">
        <v>3</v>
      </c>
      <c r="F597" s="2" t="s">
        <v>33</v>
      </c>
      <c r="G597" s="2" t="s">
        <v>19</v>
      </c>
      <c r="H597" s="2" t="s">
        <v>20</v>
      </c>
      <c r="I597" s="2">
        <v>2</v>
      </c>
      <c r="J597" s="4" t="s">
        <v>27</v>
      </c>
      <c r="K597" s="2" t="s">
        <v>38</v>
      </c>
      <c r="L597" s="2">
        <v>78</v>
      </c>
      <c r="M597" t="str" cm="1">
        <f t="array" ref="M597">_xlfn.IFS(L597&lt;=35,"YOUNG_ADULTS",L597&lt;=55,"MIDDLE_AGED",L597&gt;55,"OLD-AGED")</f>
        <v>OLD-AGED</v>
      </c>
      <c r="O597" t="str" cm="1">
        <f t="array" ref="O597">_xlfn.IFS(D597&lt;=50000,"low income",D597&lt;=100000,"Mid income",D597&gt;100000,"High income")</f>
        <v>low income</v>
      </c>
      <c r="P597" t="str" cm="1">
        <f t="array" ref="P597">_xlfn.IFS(E597&lt;=2,"&lt;=2",E597&gt;2,"&gt;2")</f>
        <v>&gt;2</v>
      </c>
    </row>
    <row r="598" spans="1:16">
      <c r="A598" s="2">
        <v>20343</v>
      </c>
      <c r="B598" s="2" t="s">
        <v>16</v>
      </c>
      <c r="C598" s="2" t="s">
        <v>17</v>
      </c>
      <c r="D598" s="6">
        <v>90000</v>
      </c>
      <c r="E598" s="2">
        <v>4</v>
      </c>
      <c r="F598" s="2" t="s">
        <v>23</v>
      </c>
      <c r="G598" s="2" t="s">
        <v>25</v>
      </c>
      <c r="H598" s="2" t="s">
        <v>20</v>
      </c>
      <c r="I598" s="2">
        <v>1</v>
      </c>
      <c r="J598" s="4" t="s">
        <v>32</v>
      </c>
      <c r="K598" s="2" t="s">
        <v>38</v>
      </c>
      <c r="L598" s="2">
        <v>45</v>
      </c>
      <c r="M598" t="str" cm="1">
        <f t="array" ref="M598">_xlfn.IFS(L598&lt;=35,"YOUNG_ADULTS",L598&lt;=55,"MIDDLE_AGED",L598&gt;55,"OLD-AGED")</f>
        <v>MIDDLE_AGED</v>
      </c>
      <c r="O598" t="str" cm="1">
        <f t="array" ref="O598">_xlfn.IFS(D598&lt;=50000,"low income",D598&lt;=100000,"Mid income",D598&gt;100000,"High income")</f>
        <v>Mid income</v>
      </c>
      <c r="P598" t="str" cm="1">
        <f t="array" ref="P598">_xlfn.IFS(E598&lt;=2,"&lt;=2",E598&gt;2,"&gt;2")</f>
        <v>&gt;2</v>
      </c>
    </row>
    <row r="599" spans="1:16">
      <c r="A599" s="2">
        <v>28997</v>
      </c>
      <c r="B599" s="2" t="s">
        <v>28</v>
      </c>
      <c r="C599" s="2" t="s">
        <v>16</v>
      </c>
      <c r="D599" s="6">
        <v>40000</v>
      </c>
      <c r="E599" s="2">
        <v>2</v>
      </c>
      <c r="F599" s="2" t="s">
        <v>33</v>
      </c>
      <c r="G599" s="2" t="s">
        <v>25</v>
      </c>
      <c r="H599" s="2" t="s">
        <v>26</v>
      </c>
      <c r="I599" s="2">
        <v>1</v>
      </c>
      <c r="J599" s="4" t="s">
        <v>27</v>
      </c>
      <c r="K599" s="2" t="s">
        <v>38</v>
      </c>
      <c r="L599" s="2">
        <v>58</v>
      </c>
      <c r="M599" t="str" cm="1">
        <f t="array" ref="M599">_xlfn.IFS(L599&lt;=35,"YOUNG_ADULTS",L599&lt;=55,"MIDDLE_AGED",L599&gt;55,"OLD-AGED")</f>
        <v>OLD-AGED</v>
      </c>
      <c r="N599" s="2" t="s">
        <v>20</v>
      </c>
      <c r="O599" t="str" cm="1">
        <f t="array" ref="O599">_xlfn.IFS(D599&lt;=50000,"low income",D599&lt;=100000,"Mid income",D599&gt;100000,"High income")</f>
        <v>low income</v>
      </c>
      <c r="P599" t="str" cm="1">
        <f t="array" ref="P599">_xlfn.IFS(E599&lt;=2,"&lt;=2",E599&gt;2,"&gt;2")</f>
        <v>&lt;=2</v>
      </c>
    </row>
    <row r="600" spans="1:16">
      <c r="A600" s="2">
        <v>24398</v>
      </c>
      <c r="B600" s="2" t="s">
        <v>16</v>
      </c>
      <c r="C600" s="2" t="s">
        <v>16</v>
      </c>
      <c r="D600" s="6">
        <v>130000</v>
      </c>
      <c r="E600" s="2">
        <v>1</v>
      </c>
      <c r="F600" s="2" t="s">
        <v>37</v>
      </c>
      <c r="G600" s="2" t="s">
        <v>34</v>
      </c>
      <c r="H600" s="2" t="s">
        <v>20</v>
      </c>
      <c r="I600" s="2">
        <v>4</v>
      </c>
      <c r="J600" s="4" t="s">
        <v>21</v>
      </c>
      <c r="K600" s="2" t="s">
        <v>38</v>
      </c>
      <c r="L600" s="2">
        <v>41</v>
      </c>
      <c r="M600" t="str" cm="1">
        <f t="array" ref="M600">_xlfn.IFS(L600&lt;=35,"YOUNG_ADULTS",L600&lt;=55,"MIDDLE_AGED",L600&gt;55,"OLD-AGED")</f>
        <v>MIDDLE_AGED</v>
      </c>
      <c r="O600" t="str" cm="1">
        <f t="array" ref="O600">_xlfn.IFS(D600&lt;=50000,"low income",D600&lt;=100000,"Mid income",D600&gt;100000,"High income")</f>
        <v>High income</v>
      </c>
      <c r="P600" t="str" cm="1">
        <f t="array" ref="P600">_xlfn.IFS(E600&lt;=2,"&lt;=2",E600&gt;2,"&gt;2")</f>
        <v>&lt;=2</v>
      </c>
    </row>
    <row r="601" spans="1:16">
      <c r="A601" s="2">
        <v>19002</v>
      </c>
      <c r="B601" s="2" t="s">
        <v>16</v>
      </c>
      <c r="C601" s="2" t="s">
        <v>17</v>
      </c>
      <c r="D601" s="6">
        <v>60000</v>
      </c>
      <c r="E601" s="2">
        <v>2</v>
      </c>
      <c r="F601" s="2" t="s">
        <v>23</v>
      </c>
      <c r="G601" s="2" t="s">
        <v>25</v>
      </c>
      <c r="H601" s="2" t="s">
        <v>20</v>
      </c>
      <c r="I601" s="2">
        <v>1</v>
      </c>
      <c r="J601" s="4" t="s">
        <v>27</v>
      </c>
      <c r="K601" s="2" t="s">
        <v>38</v>
      </c>
      <c r="L601" s="2">
        <v>57</v>
      </c>
      <c r="M601" t="str" cm="1">
        <f t="array" ref="M601">_xlfn.IFS(L601&lt;=35,"YOUNG_ADULTS",L601&lt;=55,"MIDDLE_AGED",L601&gt;55,"OLD-AGED")</f>
        <v>OLD-AGED</v>
      </c>
      <c r="N601" s="2" t="s">
        <v>20</v>
      </c>
      <c r="O601" t="str" cm="1">
        <f t="array" ref="O601">_xlfn.IFS(D601&lt;=50000,"low income",D601&lt;=100000,"Mid income",D601&gt;100000,"High income")</f>
        <v>Mid income</v>
      </c>
      <c r="P601" t="str" cm="1">
        <f t="array" ref="P601">_xlfn.IFS(E601&lt;=2,"&lt;=2",E601&gt;2,"&gt;2")</f>
        <v>&lt;=2</v>
      </c>
    </row>
    <row r="602" spans="1:16">
      <c r="A602" s="2">
        <v>28609</v>
      </c>
      <c r="B602" s="2" t="s">
        <v>16</v>
      </c>
      <c r="C602" s="2" t="s">
        <v>16</v>
      </c>
      <c r="D602" s="6">
        <v>30000</v>
      </c>
      <c r="E602" s="2">
        <v>2</v>
      </c>
      <c r="F602" s="2" t="s">
        <v>33</v>
      </c>
      <c r="G602" s="2" t="s">
        <v>19</v>
      </c>
      <c r="H602" s="2" t="s">
        <v>26</v>
      </c>
      <c r="I602" s="2">
        <v>2</v>
      </c>
      <c r="J602" s="4" t="s">
        <v>21</v>
      </c>
      <c r="K602" s="2" t="s">
        <v>38</v>
      </c>
      <c r="L602" s="2">
        <v>49</v>
      </c>
      <c r="M602" t="str" cm="1">
        <f t="array" ref="M602">_xlfn.IFS(L602&lt;=35,"YOUNG_ADULTS",L602&lt;=55,"MIDDLE_AGED",L602&gt;55,"OLD-AGED")</f>
        <v>MIDDLE_AGED</v>
      </c>
      <c r="O602" t="str" cm="1">
        <f t="array" ref="O602">_xlfn.IFS(D602&lt;=50000,"low income",D602&lt;=100000,"Mid income",D602&gt;100000,"High income")</f>
        <v>low income</v>
      </c>
      <c r="P602" t="str" cm="1">
        <f t="array" ref="P602">_xlfn.IFS(E602&lt;=2,"&lt;=2",E602&gt;2,"&gt;2")</f>
        <v>&lt;=2</v>
      </c>
    </row>
    <row r="603" spans="1:16">
      <c r="A603" s="2">
        <v>29231</v>
      </c>
      <c r="B603" s="2" t="s">
        <v>28</v>
      </c>
      <c r="C603" s="2" t="s">
        <v>16</v>
      </c>
      <c r="D603" s="6">
        <v>80000</v>
      </c>
      <c r="E603" s="2">
        <v>4</v>
      </c>
      <c r="F603" s="2" t="s">
        <v>23</v>
      </c>
      <c r="G603" s="2" t="s">
        <v>25</v>
      </c>
      <c r="H603" s="2" t="s">
        <v>26</v>
      </c>
      <c r="I603" s="2">
        <v>2</v>
      </c>
      <c r="J603" s="4" t="s">
        <v>21</v>
      </c>
      <c r="K603" s="2" t="s">
        <v>38</v>
      </c>
      <c r="L603" s="2">
        <v>43</v>
      </c>
      <c r="M603" t="str" cm="1">
        <f t="array" ref="M603">_xlfn.IFS(L603&lt;=35,"YOUNG_ADULTS",L603&lt;=55,"MIDDLE_AGED",L603&gt;55,"OLD-AGED")</f>
        <v>MIDDLE_AGED</v>
      </c>
      <c r="O603" t="str" cm="1">
        <f t="array" ref="O603">_xlfn.IFS(D603&lt;=50000,"low income",D603&lt;=100000,"Mid income",D603&gt;100000,"High income")</f>
        <v>Mid income</v>
      </c>
      <c r="P603" t="str" cm="1">
        <f t="array" ref="P603">_xlfn.IFS(E603&lt;=2,"&lt;=2",E603&gt;2,"&gt;2")</f>
        <v>&gt;2</v>
      </c>
    </row>
    <row r="604" spans="1:16">
      <c r="A604" s="2">
        <v>18858</v>
      </c>
      <c r="B604" s="2" t="s">
        <v>28</v>
      </c>
      <c r="C604" s="2" t="s">
        <v>16</v>
      </c>
      <c r="D604" s="6">
        <v>60000</v>
      </c>
      <c r="E604" s="2">
        <v>2</v>
      </c>
      <c r="F604" s="2" t="s">
        <v>35</v>
      </c>
      <c r="G604" s="2" t="s">
        <v>19</v>
      </c>
      <c r="H604" s="2" t="s">
        <v>20</v>
      </c>
      <c r="I604" s="2">
        <v>2</v>
      </c>
      <c r="J604" s="4" t="s">
        <v>29</v>
      </c>
      <c r="K604" s="2" t="s">
        <v>38</v>
      </c>
      <c r="L604" s="2">
        <v>52</v>
      </c>
      <c r="M604" t="str" cm="1">
        <f t="array" ref="M604">_xlfn.IFS(L604&lt;=35,"YOUNG_ADULTS",L604&lt;=55,"MIDDLE_AGED",L604&gt;55,"OLD-AGED")</f>
        <v>MIDDLE_AGED</v>
      </c>
      <c r="N604" s="2" t="s">
        <v>20</v>
      </c>
      <c r="O604" t="str" cm="1">
        <f t="array" ref="O604">_xlfn.IFS(D604&lt;=50000,"low income",D604&lt;=100000,"Mid income",D604&gt;100000,"High income")</f>
        <v>Mid income</v>
      </c>
      <c r="P604" t="str" cm="1">
        <f t="array" ref="P604">_xlfn.IFS(E604&lt;=2,"&lt;=2",E604&gt;2,"&gt;2")</f>
        <v>&lt;=2</v>
      </c>
    </row>
    <row r="605" spans="1:16">
      <c r="A605" s="2">
        <v>20000</v>
      </c>
      <c r="B605" s="2" t="s">
        <v>16</v>
      </c>
      <c r="C605" s="2" t="s">
        <v>16</v>
      </c>
      <c r="D605" s="6">
        <v>60000</v>
      </c>
      <c r="E605" s="2">
        <v>1</v>
      </c>
      <c r="F605" s="2" t="s">
        <v>37</v>
      </c>
      <c r="G605" s="2" t="s">
        <v>25</v>
      </c>
      <c r="H605" s="2" t="s">
        <v>20</v>
      </c>
      <c r="I605" s="2">
        <v>0</v>
      </c>
      <c r="J605" s="4" t="s">
        <v>21</v>
      </c>
      <c r="K605" s="2" t="s">
        <v>38</v>
      </c>
      <c r="L605" s="2">
        <v>35</v>
      </c>
      <c r="M605" t="str" cm="1">
        <f t="array" ref="M605">_xlfn.IFS(L605&lt;=35,"YOUNG_ADULTS",L605&lt;=55,"MIDDLE_AGED",L605&gt;55,"OLD-AGED")</f>
        <v>YOUNG_ADULTS</v>
      </c>
      <c r="N605" s="2" t="s">
        <v>20</v>
      </c>
      <c r="O605" t="str" cm="1">
        <f t="array" ref="O605">_xlfn.IFS(D605&lt;=50000,"low income",D605&lt;=100000,"Mid income",D605&gt;100000,"High income")</f>
        <v>Mid income</v>
      </c>
      <c r="P605" t="str" cm="1">
        <f t="array" ref="P605">_xlfn.IFS(E605&lt;=2,"&lt;=2",E605&gt;2,"&gt;2")</f>
        <v>&lt;=2</v>
      </c>
    </row>
    <row r="606" spans="1:16">
      <c r="A606" s="2">
        <v>25261</v>
      </c>
      <c r="B606" s="2" t="s">
        <v>16</v>
      </c>
      <c r="C606" s="2" t="s">
        <v>16</v>
      </c>
      <c r="D606" s="6">
        <v>40000</v>
      </c>
      <c r="E606" s="2">
        <v>0</v>
      </c>
      <c r="F606" s="2" t="s">
        <v>33</v>
      </c>
      <c r="G606" s="2" t="s">
        <v>19</v>
      </c>
      <c r="H606" s="2" t="s">
        <v>20</v>
      </c>
      <c r="I606" s="2">
        <v>2</v>
      </c>
      <c r="J606" s="4" t="s">
        <v>29</v>
      </c>
      <c r="K606" s="2" t="s">
        <v>38</v>
      </c>
      <c r="L606" s="2">
        <v>27</v>
      </c>
      <c r="M606" t="str" cm="1">
        <f t="array" ref="M606">_xlfn.IFS(L606&lt;=35,"YOUNG_ADULTS",L606&lt;=55,"MIDDLE_AGED",L606&gt;55,"OLD-AGED")</f>
        <v>YOUNG_ADULTS</v>
      </c>
      <c r="O606" t="str" cm="1">
        <f t="array" ref="O606">_xlfn.IFS(D606&lt;=50000,"low income",D606&lt;=100000,"Mid income",D606&gt;100000,"High income")</f>
        <v>low income</v>
      </c>
      <c r="P606" t="str" cm="1">
        <f t="array" ref="P606">_xlfn.IFS(E606&lt;=2,"&lt;=2",E606&gt;2,"&gt;2")</f>
        <v>&lt;=2</v>
      </c>
    </row>
    <row r="607" spans="1:16">
      <c r="A607" s="2">
        <v>17458</v>
      </c>
      <c r="B607" s="2" t="s">
        <v>28</v>
      </c>
      <c r="C607" s="2" t="s">
        <v>16</v>
      </c>
      <c r="D607" s="6">
        <v>70000</v>
      </c>
      <c r="E607" s="2">
        <v>3</v>
      </c>
      <c r="F607" s="2" t="s">
        <v>33</v>
      </c>
      <c r="G607" s="2" t="s">
        <v>25</v>
      </c>
      <c r="H607" s="2" t="s">
        <v>20</v>
      </c>
      <c r="I607" s="2">
        <v>0</v>
      </c>
      <c r="J607" s="4" t="s">
        <v>29</v>
      </c>
      <c r="K607" s="2" t="s">
        <v>38</v>
      </c>
      <c r="L607" s="2">
        <v>52</v>
      </c>
      <c r="M607" t="str" cm="1">
        <f t="array" ref="M607">_xlfn.IFS(L607&lt;=35,"YOUNG_ADULTS",L607&lt;=55,"MIDDLE_AGED",L607&gt;55,"OLD-AGED")</f>
        <v>MIDDLE_AGED</v>
      </c>
      <c r="N607" s="2" t="s">
        <v>20</v>
      </c>
      <c r="O607" t="str" cm="1">
        <f t="array" ref="O607">_xlfn.IFS(D607&lt;=50000,"low income",D607&lt;=100000,"Mid income",D607&gt;100000,"High income")</f>
        <v>Mid income</v>
      </c>
      <c r="P607" t="str" cm="1">
        <f t="array" ref="P607">_xlfn.IFS(E607&lt;=2,"&lt;=2",E607&gt;2,"&gt;2")</f>
        <v>&gt;2</v>
      </c>
    </row>
    <row r="608" spans="1:16">
      <c r="A608" s="2">
        <v>11644</v>
      </c>
      <c r="B608" s="2" t="s">
        <v>28</v>
      </c>
      <c r="C608" s="2" t="s">
        <v>16</v>
      </c>
      <c r="D608" s="6">
        <v>40000</v>
      </c>
      <c r="E608" s="2">
        <v>2</v>
      </c>
      <c r="F608" s="2" t="s">
        <v>18</v>
      </c>
      <c r="G608" s="2" t="s">
        <v>19</v>
      </c>
      <c r="H608" s="2" t="s">
        <v>20</v>
      </c>
      <c r="I608" s="2">
        <v>0</v>
      </c>
      <c r="J608" s="4" t="s">
        <v>27</v>
      </c>
      <c r="K608" s="2" t="s">
        <v>38</v>
      </c>
      <c r="L608" s="2">
        <v>36</v>
      </c>
      <c r="M608" t="str" cm="1">
        <f t="array" ref="M608">_xlfn.IFS(L608&lt;=35,"YOUNG_ADULTS",L608&lt;=55,"MIDDLE_AGED",L608&gt;55,"OLD-AGED")</f>
        <v>MIDDLE_AGED</v>
      </c>
      <c r="O608" t="str" cm="1">
        <f t="array" ref="O608">_xlfn.IFS(D608&lt;=50000,"low income",D608&lt;=100000,"Mid income",D608&gt;100000,"High income")</f>
        <v>low income</v>
      </c>
      <c r="P608" t="str" cm="1">
        <f t="array" ref="P608">_xlfn.IFS(E608&lt;=2,"&lt;=2",E608&gt;2,"&gt;2")</f>
        <v>&lt;=2</v>
      </c>
    </row>
    <row r="609" spans="1:16">
      <c r="A609" s="2">
        <v>16145</v>
      </c>
      <c r="B609" s="2" t="s">
        <v>28</v>
      </c>
      <c r="C609" s="2" t="s">
        <v>17</v>
      </c>
      <c r="D609" s="6">
        <v>70000</v>
      </c>
      <c r="E609" s="2">
        <v>5</v>
      </c>
      <c r="F609" s="2" t="s">
        <v>37</v>
      </c>
      <c r="G609" s="2" t="s">
        <v>25</v>
      </c>
      <c r="H609" s="2" t="s">
        <v>20</v>
      </c>
      <c r="I609" s="2">
        <v>3</v>
      </c>
      <c r="J609" s="4" t="s">
        <v>36</v>
      </c>
      <c r="K609" s="2" t="s">
        <v>38</v>
      </c>
      <c r="L609" s="2">
        <v>46</v>
      </c>
      <c r="M609" t="str" cm="1">
        <f t="array" ref="M609">_xlfn.IFS(L609&lt;=35,"YOUNG_ADULTS",L609&lt;=55,"MIDDLE_AGED",L609&gt;55,"OLD-AGED")</f>
        <v>MIDDLE_AGED</v>
      </c>
      <c r="N609" s="2" t="s">
        <v>20</v>
      </c>
      <c r="O609" t="str" cm="1">
        <f t="array" ref="O609">_xlfn.IFS(D609&lt;=50000,"low income",D609&lt;=100000,"Mid income",D609&gt;100000,"High income")</f>
        <v>Mid income</v>
      </c>
      <c r="P609" t="str" cm="1">
        <f t="array" ref="P609">_xlfn.IFS(E609&lt;=2,"&lt;=2",E609&gt;2,"&gt;2")</f>
        <v>&gt;2</v>
      </c>
    </row>
    <row r="610" spans="1:16">
      <c r="A610" s="2">
        <v>16890</v>
      </c>
      <c r="B610" s="2" t="s">
        <v>16</v>
      </c>
      <c r="C610" s="2" t="s">
        <v>16</v>
      </c>
      <c r="D610" s="6">
        <v>60000</v>
      </c>
      <c r="E610" s="2">
        <v>3</v>
      </c>
      <c r="F610" s="2" t="s">
        <v>35</v>
      </c>
      <c r="G610" s="2" t="s">
        <v>19</v>
      </c>
      <c r="H610" s="2" t="s">
        <v>20</v>
      </c>
      <c r="I610" s="2">
        <v>2</v>
      </c>
      <c r="J610" s="4" t="s">
        <v>29</v>
      </c>
      <c r="K610" s="2" t="s">
        <v>38</v>
      </c>
      <c r="L610" s="2">
        <v>52</v>
      </c>
      <c r="M610" t="str" cm="1">
        <f t="array" ref="M610">_xlfn.IFS(L610&lt;=35,"YOUNG_ADULTS",L610&lt;=55,"MIDDLE_AGED",L610&gt;55,"OLD-AGED")</f>
        <v>MIDDLE_AGED</v>
      </c>
      <c r="N610" s="2" t="s">
        <v>20</v>
      </c>
      <c r="O610" t="str" cm="1">
        <f t="array" ref="O610">_xlfn.IFS(D610&lt;=50000,"low income",D610&lt;=100000,"Mid income",D610&gt;100000,"High income")</f>
        <v>Mid income</v>
      </c>
      <c r="P610" t="str" cm="1">
        <f t="array" ref="P610">_xlfn.IFS(E610&lt;=2,"&lt;=2",E610&gt;2,"&gt;2")</f>
        <v>&gt;2</v>
      </c>
    </row>
    <row r="611" spans="1:16">
      <c r="A611" s="2">
        <v>25983</v>
      </c>
      <c r="B611" s="2" t="s">
        <v>16</v>
      </c>
      <c r="C611" s="2" t="s">
        <v>16</v>
      </c>
      <c r="D611" s="6">
        <v>70000</v>
      </c>
      <c r="E611" s="2">
        <v>0</v>
      </c>
      <c r="F611" s="2" t="s">
        <v>18</v>
      </c>
      <c r="G611" s="2" t="s">
        <v>25</v>
      </c>
      <c r="H611" s="2" t="s">
        <v>26</v>
      </c>
      <c r="I611" s="2">
        <v>1</v>
      </c>
      <c r="J611" s="4" t="s">
        <v>21</v>
      </c>
      <c r="K611" s="2" t="s">
        <v>38</v>
      </c>
      <c r="L611" s="2">
        <v>43</v>
      </c>
      <c r="M611" t="str" cm="1">
        <f t="array" ref="M611">_xlfn.IFS(L611&lt;=35,"YOUNG_ADULTS",L611&lt;=55,"MIDDLE_AGED",L611&gt;55,"OLD-AGED")</f>
        <v>MIDDLE_AGED</v>
      </c>
      <c r="O611" t="str" cm="1">
        <f t="array" ref="O611">_xlfn.IFS(D611&lt;=50000,"low income",D611&lt;=100000,"Mid income",D611&gt;100000,"High income")</f>
        <v>Mid income</v>
      </c>
      <c r="P611" t="str" cm="1">
        <f t="array" ref="P611">_xlfn.IFS(E611&lt;=2,"&lt;=2",E611&gt;2,"&gt;2")</f>
        <v>&lt;=2</v>
      </c>
    </row>
    <row r="612" spans="1:16">
      <c r="A612" s="2">
        <v>14633</v>
      </c>
      <c r="B612" s="2" t="s">
        <v>16</v>
      </c>
      <c r="C612" s="2" t="s">
        <v>16</v>
      </c>
      <c r="D612" s="6">
        <v>60000</v>
      </c>
      <c r="E612" s="2">
        <v>1</v>
      </c>
      <c r="F612" s="2" t="s">
        <v>23</v>
      </c>
      <c r="G612" s="2" t="s">
        <v>19</v>
      </c>
      <c r="H612" s="2" t="s">
        <v>20</v>
      </c>
      <c r="I612" s="2">
        <v>1</v>
      </c>
      <c r="J612" s="4" t="s">
        <v>27</v>
      </c>
      <c r="K612" s="2" t="s">
        <v>38</v>
      </c>
      <c r="L612" s="2">
        <v>44</v>
      </c>
      <c r="M612" t="str" cm="1">
        <f t="array" ref="M612">_xlfn.IFS(L612&lt;=35,"YOUNG_ADULTS",L612&lt;=55,"MIDDLE_AGED",L612&gt;55,"OLD-AGED")</f>
        <v>MIDDLE_AGED</v>
      </c>
      <c r="O612" t="str" cm="1">
        <f t="array" ref="O612">_xlfn.IFS(D612&lt;=50000,"low income",D612&lt;=100000,"Mid income",D612&gt;100000,"High income")</f>
        <v>Mid income</v>
      </c>
      <c r="P612" t="str" cm="1">
        <f t="array" ref="P612">_xlfn.IFS(E612&lt;=2,"&lt;=2",E612&gt;2,"&gt;2")</f>
        <v>&lt;=2</v>
      </c>
    </row>
    <row r="613" spans="1:16">
      <c r="A613" s="2">
        <v>22994</v>
      </c>
      <c r="B613" s="2" t="s">
        <v>16</v>
      </c>
      <c r="C613" s="2" t="s">
        <v>17</v>
      </c>
      <c r="D613" s="6">
        <v>80000</v>
      </c>
      <c r="E613" s="2">
        <v>0</v>
      </c>
      <c r="F613" s="2" t="s">
        <v>18</v>
      </c>
      <c r="G613" s="2" t="s">
        <v>34</v>
      </c>
      <c r="H613" s="2" t="s">
        <v>20</v>
      </c>
      <c r="I613" s="2">
        <v>1</v>
      </c>
      <c r="J613" s="4" t="s">
        <v>32</v>
      </c>
      <c r="K613" s="2" t="s">
        <v>38</v>
      </c>
      <c r="L613" s="2">
        <v>34</v>
      </c>
      <c r="M613" t="str" cm="1">
        <f t="array" ref="M613">_xlfn.IFS(L613&lt;=35,"YOUNG_ADULTS",L613&lt;=55,"MIDDLE_AGED",L613&gt;55,"OLD-AGED")</f>
        <v>YOUNG_ADULTS</v>
      </c>
      <c r="N613" s="2" t="s">
        <v>20</v>
      </c>
      <c r="O613" t="str" cm="1">
        <f t="array" ref="O613">_xlfn.IFS(D613&lt;=50000,"low income",D613&lt;=100000,"Mid income",D613&gt;100000,"High income")</f>
        <v>Mid income</v>
      </c>
      <c r="P613" t="str" cm="1">
        <f t="array" ref="P613">_xlfn.IFS(E613&lt;=2,"&lt;=2",E613&gt;2,"&gt;2")</f>
        <v>&lt;=2</v>
      </c>
    </row>
    <row r="614" spans="1:16">
      <c r="A614" s="2">
        <v>22983</v>
      </c>
      <c r="B614" s="2" t="s">
        <v>28</v>
      </c>
      <c r="C614" s="2" t="s">
        <v>17</v>
      </c>
      <c r="D614" s="6">
        <v>30000</v>
      </c>
      <c r="E614" s="2">
        <v>0</v>
      </c>
      <c r="F614" s="2" t="s">
        <v>35</v>
      </c>
      <c r="G614" s="2" t="s">
        <v>24</v>
      </c>
      <c r="H614" s="2" t="s">
        <v>20</v>
      </c>
      <c r="I614" s="2">
        <v>2</v>
      </c>
      <c r="J614" s="4" t="s">
        <v>29</v>
      </c>
      <c r="K614" s="2" t="s">
        <v>38</v>
      </c>
      <c r="L614" s="2">
        <v>27</v>
      </c>
      <c r="M614" t="str" cm="1">
        <f t="array" ref="M614">_xlfn.IFS(L614&lt;=35,"YOUNG_ADULTS",L614&lt;=55,"MIDDLE_AGED",L614&gt;55,"OLD-AGED")</f>
        <v>YOUNG_ADULTS</v>
      </c>
      <c r="O614" t="str" cm="1">
        <f t="array" ref="O614">_xlfn.IFS(D614&lt;=50000,"low income",D614&lt;=100000,"Mid income",D614&gt;100000,"High income")</f>
        <v>low income</v>
      </c>
      <c r="P614" t="str" cm="1">
        <f t="array" ref="P614">_xlfn.IFS(E614&lt;=2,"&lt;=2",E614&gt;2,"&gt;2")</f>
        <v>&lt;=2</v>
      </c>
    </row>
    <row r="615" spans="1:16">
      <c r="A615" s="2">
        <v>25184</v>
      </c>
      <c r="B615" s="2" t="s">
        <v>28</v>
      </c>
      <c r="C615" s="2" t="s">
        <v>16</v>
      </c>
      <c r="D615" s="6">
        <v>110000</v>
      </c>
      <c r="E615" s="2">
        <v>1</v>
      </c>
      <c r="F615" s="2" t="s">
        <v>23</v>
      </c>
      <c r="G615" s="2" t="s">
        <v>25</v>
      </c>
      <c r="H615" s="2" t="s">
        <v>20</v>
      </c>
      <c r="I615" s="2">
        <v>4</v>
      </c>
      <c r="J615" s="4" t="s">
        <v>29</v>
      </c>
      <c r="K615" s="2" t="s">
        <v>38</v>
      </c>
      <c r="L615" s="2">
        <v>45</v>
      </c>
      <c r="M615" t="str" cm="1">
        <f t="array" ref="M615">_xlfn.IFS(L615&lt;=35,"YOUNG_ADULTS",L615&lt;=55,"MIDDLE_AGED",L615&gt;55,"OLD-AGED")</f>
        <v>MIDDLE_AGED</v>
      </c>
      <c r="N615" s="2" t="s">
        <v>20</v>
      </c>
      <c r="O615" t="str" cm="1">
        <f t="array" ref="O615">_xlfn.IFS(D615&lt;=50000,"low income",D615&lt;=100000,"Mid income",D615&gt;100000,"High income")</f>
        <v>High income</v>
      </c>
      <c r="P615" t="str" cm="1">
        <f t="array" ref="P615">_xlfn.IFS(E615&lt;=2,"&lt;=2",E615&gt;2,"&gt;2")</f>
        <v>&lt;=2</v>
      </c>
    </row>
    <row r="616" spans="1:16">
      <c r="A616" s="2">
        <v>14469</v>
      </c>
      <c r="B616" s="2" t="s">
        <v>16</v>
      </c>
      <c r="C616" s="2" t="s">
        <v>17</v>
      </c>
      <c r="D616" s="6">
        <v>100000</v>
      </c>
      <c r="E616" s="2">
        <v>3</v>
      </c>
      <c r="F616" s="2" t="s">
        <v>23</v>
      </c>
      <c r="G616" s="2" t="s">
        <v>25</v>
      </c>
      <c r="H616" s="2" t="s">
        <v>20</v>
      </c>
      <c r="I616" s="2">
        <v>4</v>
      </c>
      <c r="J616" s="4" t="s">
        <v>32</v>
      </c>
      <c r="K616" s="2" t="s">
        <v>38</v>
      </c>
      <c r="L616" s="2">
        <v>45</v>
      </c>
      <c r="M616" t="str" cm="1">
        <f t="array" ref="M616">_xlfn.IFS(L616&lt;=35,"YOUNG_ADULTS",L616&lt;=55,"MIDDLE_AGED",L616&gt;55,"OLD-AGED")</f>
        <v>MIDDLE_AGED</v>
      </c>
      <c r="O616" t="str" cm="1">
        <f t="array" ref="O616">_xlfn.IFS(D616&lt;=50000,"low income",D616&lt;=100000,"Mid income",D616&gt;100000,"High income")</f>
        <v>Mid income</v>
      </c>
      <c r="P616" t="str" cm="1">
        <f t="array" ref="P616">_xlfn.IFS(E616&lt;=2,"&lt;=2",E616&gt;2,"&gt;2")</f>
        <v>&gt;2</v>
      </c>
    </row>
    <row r="617" spans="1:16">
      <c r="A617" s="2">
        <v>11538</v>
      </c>
      <c r="B617" s="2" t="s">
        <v>28</v>
      </c>
      <c r="C617" s="2" t="s">
        <v>17</v>
      </c>
      <c r="D617" s="6">
        <v>60000</v>
      </c>
      <c r="E617" s="2">
        <v>4</v>
      </c>
      <c r="F617" s="2" t="s">
        <v>37</v>
      </c>
      <c r="G617" s="2" t="s">
        <v>19</v>
      </c>
      <c r="H617" s="2" t="s">
        <v>26</v>
      </c>
      <c r="I617" s="2">
        <v>0</v>
      </c>
      <c r="J617" s="4" t="s">
        <v>21</v>
      </c>
      <c r="K617" s="2" t="s">
        <v>38</v>
      </c>
      <c r="L617" s="2">
        <v>47</v>
      </c>
      <c r="M617" t="str" cm="1">
        <f t="array" ref="M617">_xlfn.IFS(L617&lt;=35,"YOUNG_ADULTS",L617&lt;=55,"MIDDLE_AGED",L617&gt;55,"OLD-AGED")</f>
        <v>MIDDLE_AGED</v>
      </c>
      <c r="N617" s="2" t="s">
        <v>20</v>
      </c>
      <c r="O617" t="str" cm="1">
        <f t="array" ref="O617">_xlfn.IFS(D617&lt;=50000,"low income",D617&lt;=100000,"Mid income",D617&gt;100000,"High income")</f>
        <v>Mid income</v>
      </c>
      <c r="P617" t="str" cm="1">
        <f t="array" ref="P617">_xlfn.IFS(E617&lt;=2,"&lt;=2",E617&gt;2,"&gt;2")</f>
        <v>&gt;2</v>
      </c>
    </row>
    <row r="618" spans="1:16">
      <c r="A618" s="2">
        <v>16245</v>
      </c>
      <c r="B618" s="2" t="s">
        <v>28</v>
      </c>
      <c r="C618" s="2" t="s">
        <v>17</v>
      </c>
      <c r="D618" s="6">
        <v>80000</v>
      </c>
      <c r="E618" s="2">
        <v>4</v>
      </c>
      <c r="F618" s="2" t="s">
        <v>37</v>
      </c>
      <c r="G618" s="2" t="s">
        <v>19</v>
      </c>
      <c r="H618" s="2" t="s">
        <v>20</v>
      </c>
      <c r="I618" s="2">
        <v>0</v>
      </c>
      <c r="J618" s="4" t="s">
        <v>32</v>
      </c>
      <c r="K618" s="2" t="s">
        <v>38</v>
      </c>
      <c r="L618" s="2">
        <v>47</v>
      </c>
      <c r="M618" t="str" cm="1">
        <f t="array" ref="M618">_xlfn.IFS(L618&lt;=35,"YOUNG_ADULTS",L618&lt;=55,"MIDDLE_AGED",L618&gt;55,"OLD-AGED")</f>
        <v>MIDDLE_AGED</v>
      </c>
      <c r="O618" t="str" cm="1">
        <f t="array" ref="O618">_xlfn.IFS(D618&lt;=50000,"low income",D618&lt;=100000,"Mid income",D618&gt;100000,"High income")</f>
        <v>Mid income</v>
      </c>
      <c r="P618" t="str" cm="1">
        <f t="array" ref="P618">_xlfn.IFS(E618&lt;=2,"&lt;=2",E618&gt;2,"&gt;2")</f>
        <v>&gt;2</v>
      </c>
    </row>
    <row r="619" spans="1:16">
      <c r="A619" s="2">
        <v>17858</v>
      </c>
      <c r="B619" s="2" t="s">
        <v>16</v>
      </c>
      <c r="C619" s="2" t="s">
        <v>16</v>
      </c>
      <c r="D619" s="6">
        <v>40000</v>
      </c>
      <c r="E619" s="2">
        <v>4</v>
      </c>
      <c r="F619" s="2" t="s">
        <v>33</v>
      </c>
      <c r="G619" s="2" t="s">
        <v>19</v>
      </c>
      <c r="H619" s="2" t="s">
        <v>20</v>
      </c>
      <c r="I619" s="2">
        <v>2</v>
      </c>
      <c r="J619" s="4" t="s">
        <v>27</v>
      </c>
      <c r="K619" s="2" t="s">
        <v>38</v>
      </c>
      <c r="L619" s="2">
        <v>44</v>
      </c>
      <c r="M619" t="str" cm="1">
        <f t="array" ref="M619">_xlfn.IFS(L619&lt;=35,"YOUNG_ADULTS",L619&lt;=55,"MIDDLE_AGED",L619&gt;55,"OLD-AGED")</f>
        <v>MIDDLE_AGED</v>
      </c>
      <c r="N619" s="2" t="s">
        <v>20</v>
      </c>
      <c r="O619" t="str" cm="1">
        <f t="array" ref="O619">_xlfn.IFS(D619&lt;=50000,"low income",D619&lt;=100000,"Mid income",D619&gt;100000,"High income")</f>
        <v>low income</v>
      </c>
      <c r="P619" t="str" cm="1">
        <f t="array" ref="P619">_xlfn.IFS(E619&lt;=2,"&lt;=2",E619&gt;2,"&gt;2")</f>
        <v>&gt;2</v>
      </c>
    </row>
    <row r="620" spans="1:16">
      <c r="A620" s="2">
        <v>25347</v>
      </c>
      <c r="B620" s="2" t="s">
        <v>28</v>
      </c>
      <c r="C620" s="2" t="s">
        <v>17</v>
      </c>
      <c r="D620" s="6">
        <v>20000</v>
      </c>
      <c r="E620" s="2">
        <v>3</v>
      </c>
      <c r="F620" s="2" t="s">
        <v>35</v>
      </c>
      <c r="G620" s="2" t="s">
        <v>24</v>
      </c>
      <c r="H620" s="2" t="s">
        <v>26</v>
      </c>
      <c r="I620" s="2">
        <v>2</v>
      </c>
      <c r="J620" s="4" t="s">
        <v>21</v>
      </c>
      <c r="K620" s="2" t="s">
        <v>38</v>
      </c>
      <c r="L620" s="2">
        <v>49</v>
      </c>
      <c r="M620" t="str" cm="1">
        <f t="array" ref="M620">_xlfn.IFS(L620&lt;=35,"YOUNG_ADULTS",L620&lt;=55,"MIDDLE_AGED",L620&gt;55,"OLD-AGED")</f>
        <v>MIDDLE_AGED</v>
      </c>
      <c r="O620" t="str" cm="1">
        <f t="array" ref="O620">_xlfn.IFS(D620&lt;=50000,"low income",D620&lt;=100000,"Mid income",D620&gt;100000,"High income")</f>
        <v>low income</v>
      </c>
      <c r="P620" t="str" cm="1">
        <f t="array" ref="P620">_xlfn.IFS(E620&lt;=2,"&lt;=2",E620&gt;2,"&gt;2")</f>
        <v>&gt;2</v>
      </c>
    </row>
    <row r="621" spans="1:16">
      <c r="A621" s="2">
        <v>15814</v>
      </c>
      <c r="B621" s="2" t="s">
        <v>28</v>
      </c>
      <c r="C621" s="2" t="s">
        <v>17</v>
      </c>
      <c r="D621" s="6">
        <v>40000</v>
      </c>
      <c r="E621" s="2">
        <v>0</v>
      </c>
      <c r="F621" s="2" t="s">
        <v>33</v>
      </c>
      <c r="G621" s="2" t="s">
        <v>19</v>
      </c>
      <c r="H621" s="2" t="s">
        <v>20</v>
      </c>
      <c r="I621" s="2">
        <v>1</v>
      </c>
      <c r="J621" s="4" t="s">
        <v>29</v>
      </c>
      <c r="K621" s="2" t="s">
        <v>38</v>
      </c>
      <c r="L621" s="2">
        <v>30</v>
      </c>
      <c r="M621" t="str" cm="1">
        <f t="array" ref="M621">_xlfn.IFS(L621&lt;=35,"YOUNG_ADULTS",L621&lt;=55,"MIDDLE_AGED",L621&gt;55,"OLD-AGED")</f>
        <v>YOUNG_ADULTS</v>
      </c>
      <c r="O621" t="str" cm="1">
        <f t="array" ref="O621">_xlfn.IFS(D621&lt;=50000,"low income",D621&lt;=100000,"Mid income",D621&gt;100000,"High income")</f>
        <v>low income</v>
      </c>
      <c r="P621" t="str" cm="1">
        <f t="array" ref="P621">_xlfn.IFS(E621&lt;=2,"&lt;=2",E621&gt;2,"&gt;2")</f>
        <v>&lt;=2</v>
      </c>
    </row>
    <row r="622" spans="1:16">
      <c r="A622" s="2">
        <v>11259</v>
      </c>
      <c r="B622" s="2" t="s">
        <v>16</v>
      </c>
      <c r="C622" s="2" t="s">
        <v>17</v>
      </c>
      <c r="D622" s="6">
        <v>100000</v>
      </c>
      <c r="E622" s="2">
        <v>4</v>
      </c>
      <c r="F622" s="2" t="s">
        <v>23</v>
      </c>
      <c r="G622" s="2" t="s">
        <v>25</v>
      </c>
      <c r="H622" s="2" t="s">
        <v>20</v>
      </c>
      <c r="I622" s="2">
        <v>4</v>
      </c>
      <c r="J622" s="4" t="s">
        <v>27</v>
      </c>
      <c r="K622" s="2" t="s">
        <v>38</v>
      </c>
      <c r="L622" s="2">
        <v>41</v>
      </c>
      <c r="M622" t="str" cm="1">
        <f t="array" ref="M622">_xlfn.IFS(L622&lt;=35,"YOUNG_ADULTS",L622&lt;=55,"MIDDLE_AGED",L622&gt;55,"OLD-AGED")</f>
        <v>MIDDLE_AGED</v>
      </c>
      <c r="N622" s="2" t="s">
        <v>20</v>
      </c>
      <c r="O622" t="str" cm="1">
        <f t="array" ref="O622">_xlfn.IFS(D622&lt;=50000,"low income",D622&lt;=100000,"Mid income",D622&gt;100000,"High income")</f>
        <v>Mid income</v>
      </c>
      <c r="P622" t="str" cm="1">
        <f t="array" ref="P622">_xlfn.IFS(E622&lt;=2,"&lt;=2",E622&gt;2,"&gt;2")</f>
        <v>&gt;2</v>
      </c>
    </row>
    <row r="623" spans="1:16">
      <c r="A623" s="2">
        <v>11200</v>
      </c>
      <c r="B623" s="2" t="s">
        <v>16</v>
      </c>
      <c r="C623" s="2" t="s">
        <v>16</v>
      </c>
      <c r="D623" s="6">
        <v>70000</v>
      </c>
      <c r="E623" s="2">
        <v>4</v>
      </c>
      <c r="F623" s="2" t="s">
        <v>18</v>
      </c>
      <c r="G623" s="2" t="s">
        <v>34</v>
      </c>
      <c r="H623" s="2" t="s">
        <v>20</v>
      </c>
      <c r="I623" s="2">
        <v>1</v>
      </c>
      <c r="J623" s="4" t="s">
        <v>32</v>
      </c>
      <c r="K623" s="2" t="s">
        <v>38</v>
      </c>
      <c r="L623" s="2">
        <v>58</v>
      </c>
      <c r="M623" t="str" cm="1">
        <f t="array" ref="M623">_xlfn.IFS(L623&lt;=35,"YOUNG_ADULTS",L623&lt;=55,"MIDDLE_AGED",L623&gt;55,"OLD-AGED")</f>
        <v>OLD-AGED</v>
      </c>
      <c r="O623" t="str" cm="1">
        <f t="array" ref="O623">_xlfn.IFS(D623&lt;=50000,"low income",D623&lt;=100000,"Mid income",D623&gt;100000,"High income")</f>
        <v>Mid income</v>
      </c>
      <c r="P623" t="str" cm="1">
        <f t="array" ref="P623">_xlfn.IFS(E623&lt;=2,"&lt;=2",E623&gt;2,"&gt;2")</f>
        <v>&gt;2</v>
      </c>
    </row>
    <row r="624" spans="1:16">
      <c r="A624" s="2">
        <v>25101</v>
      </c>
      <c r="B624" s="2" t="s">
        <v>16</v>
      </c>
      <c r="C624" s="2" t="s">
        <v>16</v>
      </c>
      <c r="D624" s="6">
        <v>60000</v>
      </c>
      <c r="E624" s="2">
        <v>5</v>
      </c>
      <c r="F624" s="2" t="s">
        <v>18</v>
      </c>
      <c r="G624" s="2" t="s">
        <v>25</v>
      </c>
      <c r="H624" s="2" t="s">
        <v>20</v>
      </c>
      <c r="I624" s="2">
        <v>1</v>
      </c>
      <c r="J624" s="4" t="s">
        <v>27</v>
      </c>
      <c r="K624" s="2" t="s">
        <v>38</v>
      </c>
      <c r="L624" s="2">
        <v>47</v>
      </c>
      <c r="M624" t="str" cm="1">
        <f t="array" ref="M624">_xlfn.IFS(L624&lt;=35,"YOUNG_ADULTS",L624&lt;=55,"MIDDLE_AGED",L624&gt;55,"OLD-AGED")</f>
        <v>MIDDLE_AGED</v>
      </c>
      <c r="O624" t="str" cm="1">
        <f t="array" ref="O624">_xlfn.IFS(D624&lt;=50000,"low income",D624&lt;=100000,"Mid income",D624&gt;100000,"High income")</f>
        <v>Mid income</v>
      </c>
      <c r="P624" t="str" cm="1">
        <f t="array" ref="P624">_xlfn.IFS(E624&lt;=2,"&lt;=2",E624&gt;2,"&gt;2")</f>
        <v>&gt;2</v>
      </c>
    </row>
    <row r="625" spans="1:16">
      <c r="A625" s="2">
        <v>21801</v>
      </c>
      <c r="B625" s="2" t="s">
        <v>16</v>
      </c>
      <c r="C625" s="2" t="s">
        <v>17</v>
      </c>
      <c r="D625" s="6">
        <v>70000</v>
      </c>
      <c r="E625" s="2">
        <v>4</v>
      </c>
      <c r="F625" s="2" t="s">
        <v>23</v>
      </c>
      <c r="G625" s="2" t="s">
        <v>25</v>
      </c>
      <c r="H625" s="2" t="s">
        <v>20</v>
      </c>
      <c r="I625" s="2">
        <v>1</v>
      </c>
      <c r="J625" s="4" t="s">
        <v>32</v>
      </c>
      <c r="K625" s="2" t="s">
        <v>38</v>
      </c>
      <c r="L625" s="2">
        <v>55</v>
      </c>
      <c r="M625" t="str" cm="1">
        <f t="array" ref="M625">_xlfn.IFS(L625&lt;=35,"YOUNG_ADULTS",L625&lt;=55,"MIDDLE_AGED",L625&gt;55,"OLD-AGED")</f>
        <v>MIDDLE_AGED</v>
      </c>
      <c r="O625" t="str" cm="1">
        <f t="array" ref="O625">_xlfn.IFS(D625&lt;=50000,"low income",D625&lt;=100000,"Mid income",D625&gt;100000,"High income")</f>
        <v>Mid income</v>
      </c>
      <c r="P625" t="str" cm="1">
        <f t="array" ref="P625">_xlfn.IFS(E625&lt;=2,"&lt;=2",E625&gt;2,"&gt;2")</f>
        <v>&gt;2</v>
      </c>
    </row>
    <row r="626" spans="1:16">
      <c r="A626" s="2">
        <v>25943</v>
      </c>
      <c r="B626" s="2" t="s">
        <v>28</v>
      </c>
      <c r="C626" s="2" t="s">
        <v>17</v>
      </c>
      <c r="D626" s="6">
        <v>70000</v>
      </c>
      <c r="E626" s="2">
        <v>0</v>
      </c>
      <c r="F626" s="2" t="s">
        <v>23</v>
      </c>
      <c r="G626" s="2" t="s">
        <v>19</v>
      </c>
      <c r="H626" s="2" t="s">
        <v>26</v>
      </c>
      <c r="I626" s="2">
        <v>2</v>
      </c>
      <c r="J626" s="4" t="s">
        <v>21</v>
      </c>
      <c r="K626" s="2" t="s">
        <v>38</v>
      </c>
      <c r="L626" s="2">
        <v>27</v>
      </c>
      <c r="M626" t="str" cm="1">
        <f t="array" ref="M626">_xlfn.IFS(L626&lt;=35,"YOUNG_ADULTS",L626&lt;=55,"MIDDLE_AGED",L626&gt;55,"OLD-AGED")</f>
        <v>YOUNG_ADULTS</v>
      </c>
      <c r="N626" s="2" t="s">
        <v>20</v>
      </c>
      <c r="O626" t="str" cm="1">
        <f t="array" ref="O626">_xlfn.IFS(D626&lt;=50000,"low income",D626&lt;=100000,"Mid income",D626&gt;100000,"High income")</f>
        <v>Mid income</v>
      </c>
      <c r="P626" t="str" cm="1">
        <f t="array" ref="P626">_xlfn.IFS(E626&lt;=2,"&lt;=2",E626&gt;2,"&gt;2")</f>
        <v>&lt;=2</v>
      </c>
    </row>
    <row r="627" spans="1:16">
      <c r="A627" s="2">
        <v>22127</v>
      </c>
      <c r="B627" s="2" t="s">
        <v>16</v>
      </c>
      <c r="C627" s="2" t="s">
        <v>16</v>
      </c>
      <c r="D627" s="6">
        <v>60000</v>
      </c>
      <c r="E627" s="2">
        <v>3</v>
      </c>
      <c r="F627" s="2" t="s">
        <v>37</v>
      </c>
      <c r="G627" s="2" t="s">
        <v>34</v>
      </c>
      <c r="H627" s="2" t="s">
        <v>20</v>
      </c>
      <c r="I627" s="2">
        <v>2</v>
      </c>
      <c r="J627" s="4" t="s">
        <v>32</v>
      </c>
      <c r="K627" s="2" t="s">
        <v>38</v>
      </c>
      <c r="L627" s="2">
        <v>67</v>
      </c>
      <c r="M627" t="str" cm="1">
        <f t="array" ref="M627">_xlfn.IFS(L627&lt;=35,"YOUNG_ADULTS",L627&lt;=55,"MIDDLE_AGED",L627&gt;55,"OLD-AGED")</f>
        <v>OLD-AGED</v>
      </c>
      <c r="O627" t="str" cm="1">
        <f t="array" ref="O627">_xlfn.IFS(D627&lt;=50000,"low income",D627&lt;=100000,"Mid income",D627&gt;100000,"High income")</f>
        <v>Mid income</v>
      </c>
      <c r="P627" t="str" cm="1">
        <f t="array" ref="P627">_xlfn.IFS(E627&lt;=2,"&lt;=2",E627&gt;2,"&gt;2")</f>
        <v>&gt;2</v>
      </c>
    </row>
    <row r="628" spans="1:16">
      <c r="A628" s="2">
        <v>20414</v>
      </c>
      <c r="B628" s="2" t="s">
        <v>16</v>
      </c>
      <c r="C628" s="2" t="s">
        <v>17</v>
      </c>
      <c r="D628" s="6">
        <v>60000</v>
      </c>
      <c r="E628" s="2">
        <v>0</v>
      </c>
      <c r="F628" s="2" t="s">
        <v>23</v>
      </c>
      <c r="G628" s="2" t="s">
        <v>19</v>
      </c>
      <c r="H628" s="2" t="s">
        <v>20</v>
      </c>
      <c r="I628" s="2">
        <v>2</v>
      </c>
      <c r="J628" s="4" t="s">
        <v>29</v>
      </c>
      <c r="K628" s="2" t="s">
        <v>38</v>
      </c>
      <c r="L628" s="2">
        <v>29</v>
      </c>
      <c r="M628" t="str" cm="1">
        <f t="array" ref="M628">_xlfn.IFS(L628&lt;=35,"YOUNG_ADULTS",L628&lt;=55,"MIDDLE_AGED",L628&gt;55,"OLD-AGED")</f>
        <v>YOUNG_ADULTS</v>
      </c>
      <c r="O628" t="str" cm="1">
        <f t="array" ref="O628">_xlfn.IFS(D628&lt;=50000,"low income",D628&lt;=100000,"Mid income",D628&gt;100000,"High income")</f>
        <v>Mid income</v>
      </c>
      <c r="P628" t="str" cm="1">
        <f t="array" ref="P628">_xlfn.IFS(E628&lt;=2,"&lt;=2",E628&gt;2,"&gt;2")</f>
        <v>&lt;=2</v>
      </c>
    </row>
    <row r="629" spans="1:16">
      <c r="A629" s="2">
        <v>23672</v>
      </c>
      <c r="B629" s="2" t="s">
        <v>16</v>
      </c>
      <c r="C629" s="2" t="s">
        <v>17</v>
      </c>
      <c r="D629" s="6">
        <v>60000</v>
      </c>
      <c r="E629" s="2">
        <v>3</v>
      </c>
      <c r="F629" s="2" t="s">
        <v>37</v>
      </c>
      <c r="G629" s="2" t="s">
        <v>34</v>
      </c>
      <c r="H629" s="2" t="s">
        <v>20</v>
      </c>
      <c r="I629" s="2">
        <v>2</v>
      </c>
      <c r="J629" s="4" t="s">
        <v>32</v>
      </c>
      <c r="K629" s="2" t="s">
        <v>38</v>
      </c>
      <c r="L629" s="2">
        <v>67</v>
      </c>
      <c r="M629" t="str" cm="1">
        <f t="array" ref="M629">_xlfn.IFS(L629&lt;=35,"YOUNG_ADULTS",L629&lt;=55,"MIDDLE_AGED",L629&gt;55,"OLD-AGED")</f>
        <v>OLD-AGED</v>
      </c>
      <c r="O629" t="str" cm="1">
        <f t="array" ref="O629">_xlfn.IFS(D629&lt;=50000,"low income",D629&lt;=100000,"Mid income",D629&gt;100000,"High income")</f>
        <v>Mid income</v>
      </c>
      <c r="P629" t="str" cm="1">
        <f t="array" ref="P629">_xlfn.IFS(E629&lt;=2,"&lt;=2",E629&gt;2,"&gt;2")</f>
        <v>&gt;2</v>
      </c>
    </row>
    <row r="630" spans="1:16">
      <c r="A630" s="2">
        <v>29255</v>
      </c>
      <c r="B630" s="2" t="s">
        <v>28</v>
      </c>
      <c r="C630" s="2" t="s">
        <v>16</v>
      </c>
      <c r="D630" s="6">
        <v>80000</v>
      </c>
      <c r="E630" s="2">
        <v>3</v>
      </c>
      <c r="F630" s="2" t="s">
        <v>23</v>
      </c>
      <c r="G630" s="2" t="s">
        <v>25</v>
      </c>
      <c r="H630" s="2" t="s">
        <v>26</v>
      </c>
      <c r="I630" s="2">
        <v>1</v>
      </c>
      <c r="J630" s="4" t="s">
        <v>32</v>
      </c>
      <c r="K630" s="2" t="s">
        <v>38</v>
      </c>
      <c r="L630" s="2">
        <v>51</v>
      </c>
      <c r="M630" t="str" cm="1">
        <f t="array" ref="M630">_xlfn.IFS(L630&lt;=35,"YOUNG_ADULTS",L630&lt;=55,"MIDDLE_AGED",L630&gt;55,"OLD-AGED")</f>
        <v>MIDDLE_AGED</v>
      </c>
      <c r="N630" s="2" t="s">
        <v>20</v>
      </c>
      <c r="O630" t="str" cm="1">
        <f t="array" ref="O630">_xlfn.IFS(D630&lt;=50000,"low income",D630&lt;=100000,"Mid income",D630&gt;100000,"High income")</f>
        <v>Mid income</v>
      </c>
      <c r="P630" t="str" cm="1">
        <f t="array" ref="P630">_xlfn.IFS(E630&lt;=2,"&lt;=2",E630&gt;2,"&gt;2")</f>
        <v>&gt;2</v>
      </c>
    </row>
    <row r="631" spans="1:16">
      <c r="A631" s="2">
        <v>28815</v>
      </c>
      <c r="B631" s="2" t="s">
        <v>16</v>
      </c>
      <c r="C631" s="2" t="s">
        <v>17</v>
      </c>
      <c r="D631" s="6">
        <v>50000</v>
      </c>
      <c r="E631" s="2">
        <v>1</v>
      </c>
      <c r="F631" s="2" t="s">
        <v>37</v>
      </c>
      <c r="G631" s="2" t="s">
        <v>19</v>
      </c>
      <c r="H631" s="2" t="s">
        <v>20</v>
      </c>
      <c r="I631" s="2">
        <v>0</v>
      </c>
      <c r="J631" s="4" t="s">
        <v>21</v>
      </c>
      <c r="K631" s="2" t="s">
        <v>38</v>
      </c>
      <c r="L631" s="2">
        <v>35</v>
      </c>
      <c r="M631" t="str" cm="1">
        <f t="array" ref="M631">_xlfn.IFS(L631&lt;=35,"YOUNG_ADULTS",L631&lt;=55,"MIDDLE_AGED",L631&gt;55,"OLD-AGED")</f>
        <v>YOUNG_ADULTS</v>
      </c>
      <c r="O631" t="str" cm="1">
        <f t="array" ref="O631">_xlfn.IFS(D631&lt;=50000,"low income",D631&lt;=100000,"Mid income",D631&gt;100000,"High income")</f>
        <v>low income</v>
      </c>
      <c r="P631" t="str" cm="1">
        <f t="array" ref="P631">_xlfn.IFS(E631&lt;=2,"&lt;=2",E631&gt;2,"&gt;2")</f>
        <v>&lt;=2</v>
      </c>
    </row>
    <row r="632" spans="1:16">
      <c r="A632" s="2">
        <v>27753</v>
      </c>
      <c r="B632" s="2" t="s">
        <v>16</v>
      </c>
      <c r="C632" s="2" t="s">
        <v>16</v>
      </c>
      <c r="D632" s="6">
        <v>40000</v>
      </c>
      <c r="E632" s="2">
        <v>0</v>
      </c>
      <c r="F632" s="2" t="s">
        <v>33</v>
      </c>
      <c r="G632" s="2" t="s">
        <v>19</v>
      </c>
      <c r="H632" s="2" t="s">
        <v>26</v>
      </c>
      <c r="I632" s="2">
        <v>2</v>
      </c>
      <c r="J632" s="4" t="s">
        <v>32</v>
      </c>
      <c r="K632" s="2" t="s">
        <v>38</v>
      </c>
      <c r="L632" s="2">
        <v>30</v>
      </c>
      <c r="M632" t="str" cm="1">
        <f t="array" ref="M632">_xlfn.IFS(L632&lt;=35,"YOUNG_ADULTS",L632&lt;=55,"MIDDLE_AGED",L632&gt;55,"OLD-AGED")</f>
        <v>YOUNG_ADULTS</v>
      </c>
      <c r="O632" t="str" cm="1">
        <f t="array" ref="O632">_xlfn.IFS(D632&lt;=50000,"low income",D632&lt;=100000,"Mid income",D632&gt;100000,"High income")</f>
        <v>low income</v>
      </c>
      <c r="P632" t="str" cm="1">
        <f t="array" ref="P632">_xlfn.IFS(E632&lt;=2,"&lt;=2",E632&gt;2,"&gt;2")</f>
        <v>&lt;=2</v>
      </c>
    </row>
    <row r="633" spans="1:16">
      <c r="A633" s="2">
        <v>27643</v>
      </c>
      <c r="B633" s="2" t="s">
        <v>28</v>
      </c>
      <c r="C633" s="2" t="s">
        <v>16</v>
      </c>
      <c r="D633" s="6">
        <v>70000</v>
      </c>
      <c r="E633" s="2">
        <v>5</v>
      </c>
      <c r="F633" s="2" t="s">
        <v>23</v>
      </c>
      <c r="G633" s="2" t="s">
        <v>25</v>
      </c>
      <c r="H633" s="2" t="s">
        <v>20</v>
      </c>
      <c r="I633" s="2">
        <v>3</v>
      </c>
      <c r="J633" s="4" t="s">
        <v>27</v>
      </c>
      <c r="K633" s="2" t="s">
        <v>38</v>
      </c>
      <c r="L633" s="2">
        <v>44</v>
      </c>
      <c r="M633" t="str" cm="1">
        <f t="array" ref="M633">_xlfn.IFS(L633&lt;=35,"YOUNG_ADULTS",L633&lt;=55,"MIDDLE_AGED",L633&gt;55,"OLD-AGED")</f>
        <v>MIDDLE_AGED</v>
      </c>
      <c r="O633" t="str" cm="1">
        <f t="array" ref="O633">_xlfn.IFS(D633&lt;=50000,"low income",D633&lt;=100000,"Mid income",D633&gt;100000,"High income")</f>
        <v>Mid income</v>
      </c>
      <c r="P633" t="str" cm="1">
        <f t="array" ref="P633">_xlfn.IFS(E633&lt;=2,"&lt;=2",E633&gt;2,"&gt;2")</f>
        <v>&gt;2</v>
      </c>
    </row>
    <row r="634" spans="1:16">
      <c r="A634" s="2">
        <v>13754</v>
      </c>
      <c r="B634" s="2" t="s">
        <v>28</v>
      </c>
      <c r="C634" s="2" t="s">
        <v>17</v>
      </c>
      <c r="D634" s="6">
        <v>80000</v>
      </c>
      <c r="E634" s="2">
        <v>4</v>
      </c>
      <c r="F634" s="2" t="s">
        <v>37</v>
      </c>
      <c r="G634" s="2" t="s">
        <v>19</v>
      </c>
      <c r="H634" s="2" t="s">
        <v>20</v>
      </c>
      <c r="I634" s="2">
        <v>0</v>
      </c>
      <c r="J634" s="4" t="s">
        <v>32</v>
      </c>
      <c r="K634" s="2" t="s">
        <v>38</v>
      </c>
      <c r="L634" s="2">
        <v>48</v>
      </c>
      <c r="M634" t="str" cm="1">
        <f t="array" ref="M634">_xlfn.IFS(L634&lt;=35,"YOUNG_ADULTS",L634&lt;=55,"MIDDLE_AGED",L634&gt;55,"OLD-AGED")</f>
        <v>MIDDLE_AGED</v>
      </c>
      <c r="O634" t="str" cm="1">
        <f t="array" ref="O634">_xlfn.IFS(D634&lt;=50000,"low income",D634&lt;=100000,"Mid income",D634&gt;100000,"High income")</f>
        <v>Mid income</v>
      </c>
      <c r="P634" t="str" cm="1">
        <f t="array" ref="P634">_xlfn.IFS(E634&lt;=2,"&lt;=2",E634&gt;2,"&gt;2")</f>
        <v>&gt;2</v>
      </c>
    </row>
    <row r="635" spans="1:16">
      <c r="A635" s="2">
        <v>22088</v>
      </c>
      <c r="B635" s="2" t="s">
        <v>16</v>
      </c>
      <c r="C635" s="2" t="s">
        <v>17</v>
      </c>
      <c r="D635" s="6">
        <v>130000</v>
      </c>
      <c r="E635" s="2">
        <v>1</v>
      </c>
      <c r="F635" s="2" t="s">
        <v>18</v>
      </c>
      <c r="G635" s="2" t="s">
        <v>34</v>
      </c>
      <c r="H635" s="2" t="s">
        <v>20</v>
      </c>
      <c r="I635" s="2">
        <v>2</v>
      </c>
      <c r="J635" s="4" t="s">
        <v>21</v>
      </c>
      <c r="K635" s="2" t="s">
        <v>38</v>
      </c>
      <c r="L635" s="2">
        <v>45</v>
      </c>
      <c r="M635" t="str" cm="1">
        <f t="array" ref="M635">_xlfn.IFS(L635&lt;=35,"YOUNG_ADULTS",L635&lt;=55,"MIDDLE_AGED",L635&gt;55,"OLD-AGED")</f>
        <v>MIDDLE_AGED</v>
      </c>
      <c r="N635" s="2" t="s">
        <v>20</v>
      </c>
      <c r="O635" t="str" cm="1">
        <f t="array" ref="O635">_xlfn.IFS(D635&lt;=50000,"low income",D635&lt;=100000,"Mid income",D635&gt;100000,"High income")</f>
        <v>High income</v>
      </c>
      <c r="P635" t="str" cm="1">
        <f t="array" ref="P635">_xlfn.IFS(E635&lt;=2,"&lt;=2",E635&gt;2,"&gt;2")</f>
        <v>&lt;=2</v>
      </c>
    </row>
    <row r="636" spans="1:16">
      <c r="A636" s="2">
        <v>27388</v>
      </c>
      <c r="B636" s="2" t="s">
        <v>16</v>
      </c>
      <c r="C636" s="2" t="s">
        <v>16</v>
      </c>
      <c r="D636" s="6">
        <v>60000</v>
      </c>
      <c r="E636" s="2">
        <v>3</v>
      </c>
      <c r="F636" s="2" t="s">
        <v>18</v>
      </c>
      <c r="G636" s="2" t="s">
        <v>34</v>
      </c>
      <c r="H636" s="2" t="s">
        <v>26</v>
      </c>
      <c r="I636" s="2">
        <v>2</v>
      </c>
      <c r="J636" s="4" t="s">
        <v>32</v>
      </c>
      <c r="K636" s="2" t="s">
        <v>38</v>
      </c>
      <c r="L636" s="2">
        <v>66</v>
      </c>
      <c r="M636" t="str" cm="1">
        <f t="array" ref="M636">_xlfn.IFS(L636&lt;=35,"YOUNG_ADULTS",L636&lt;=55,"MIDDLE_AGED",L636&gt;55,"OLD-AGED")</f>
        <v>OLD-AGED</v>
      </c>
      <c r="O636" t="str" cm="1">
        <f t="array" ref="O636">_xlfn.IFS(D636&lt;=50000,"low income",D636&lt;=100000,"Mid income",D636&gt;100000,"High income")</f>
        <v>Mid income</v>
      </c>
      <c r="P636" t="str" cm="1">
        <f t="array" ref="P636">_xlfn.IFS(E636&lt;=2,"&lt;=2",E636&gt;2,"&gt;2")</f>
        <v>&gt;2</v>
      </c>
    </row>
    <row r="637" spans="1:16">
      <c r="A637" s="2">
        <v>24745</v>
      </c>
      <c r="B637" s="2" t="s">
        <v>28</v>
      </c>
      <c r="C637" s="2" t="s">
        <v>17</v>
      </c>
      <c r="D637" s="6">
        <v>30000</v>
      </c>
      <c r="E637" s="2">
        <v>2</v>
      </c>
      <c r="F637" s="2" t="s">
        <v>33</v>
      </c>
      <c r="G637" s="2" t="s">
        <v>19</v>
      </c>
      <c r="H637" s="2" t="s">
        <v>26</v>
      </c>
      <c r="I637" s="2">
        <v>2</v>
      </c>
      <c r="J637" s="4" t="s">
        <v>21</v>
      </c>
      <c r="K637" s="2" t="s">
        <v>38</v>
      </c>
      <c r="L637" s="2">
        <v>49</v>
      </c>
      <c r="M637" t="str" cm="1">
        <f t="array" ref="M637">_xlfn.IFS(L637&lt;=35,"YOUNG_ADULTS",L637&lt;=55,"MIDDLE_AGED",L637&gt;55,"OLD-AGED")</f>
        <v>MIDDLE_AGED</v>
      </c>
      <c r="O637" t="str" cm="1">
        <f t="array" ref="O637">_xlfn.IFS(D637&lt;=50000,"low income",D637&lt;=100000,"Mid income",D637&gt;100000,"High income")</f>
        <v>low income</v>
      </c>
      <c r="P637" t="str" cm="1">
        <f t="array" ref="P637">_xlfn.IFS(E637&lt;=2,"&lt;=2",E637&gt;2,"&gt;2")</f>
        <v>&lt;=2</v>
      </c>
    </row>
    <row r="638" spans="1:16">
      <c r="A638" s="2">
        <v>29237</v>
      </c>
      <c r="B638" s="2" t="s">
        <v>28</v>
      </c>
      <c r="C638" s="2" t="s">
        <v>17</v>
      </c>
      <c r="D638" s="6">
        <v>120000</v>
      </c>
      <c r="E638" s="2">
        <v>4</v>
      </c>
      <c r="F638" s="2" t="s">
        <v>23</v>
      </c>
      <c r="G638" s="2" t="s">
        <v>25</v>
      </c>
      <c r="H638" s="2" t="s">
        <v>20</v>
      </c>
      <c r="I638" s="2">
        <v>3</v>
      </c>
      <c r="J638" s="4" t="s">
        <v>29</v>
      </c>
      <c r="K638" s="2" t="s">
        <v>38</v>
      </c>
      <c r="L638" s="2">
        <v>43</v>
      </c>
      <c r="M638" t="str" cm="1">
        <f t="array" ref="M638">_xlfn.IFS(L638&lt;=35,"YOUNG_ADULTS",L638&lt;=55,"MIDDLE_AGED",L638&gt;55,"OLD-AGED")</f>
        <v>MIDDLE_AGED</v>
      </c>
      <c r="N638" s="2" t="s">
        <v>20</v>
      </c>
      <c r="O638" t="str" cm="1">
        <f t="array" ref="O638">_xlfn.IFS(D638&lt;=50000,"low income",D638&lt;=100000,"Mid income",D638&gt;100000,"High income")</f>
        <v>High income</v>
      </c>
      <c r="P638" t="str" cm="1">
        <f t="array" ref="P638">_xlfn.IFS(E638&lt;=2,"&lt;=2",E638&gt;2,"&gt;2")</f>
        <v>&gt;2</v>
      </c>
    </row>
    <row r="639" spans="1:16">
      <c r="A639" s="2">
        <v>15272</v>
      </c>
      <c r="B639" s="2" t="s">
        <v>28</v>
      </c>
      <c r="C639" s="2" t="s">
        <v>16</v>
      </c>
      <c r="D639" s="6">
        <v>40000</v>
      </c>
      <c r="E639" s="2">
        <v>0</v>
      </c>
      <c r="F639" s="2" t="s">
        <v>33</v>
      </c>
      <c r="G639" s="2" t="s">
        <v>19</v>
      </c>
      <c r="H639" s="2" t="s">
        <v>26</v>
      </c>
      <c r="I639" s="2">
        <v>2</v>
      </c>
      <c r="J639" s="4" t="s">
        <v>32</v>
      </c>
      <c r="K639" s="2" t="s">
        <v>38</v>
      </c>
      <c r="L639" s="2">
        <v>30</v>
      </c>
      <c r="M639" t="str" cm="1">
        <f t="array" ref="M639">_xlfn.IFS(L639&lt;=35,"YOUNG_ADULTS",L639&lt;=55,"MIDDLE_AGED",L639&gt;55,"OLD-AGED")</f>
        <v>YOUNG_ADULTS</v>
      </c>
      <c r="O639" t="str" cm="1">
        <f t="array" ref="O639">_xlfn.IFS(D639&lt;=50000,"low income",D639&lt;=100000,"Mid income",D639&gt;100000,"High income")</f>
        <v>low income</v>
      </c>
      <c r="P639" t="str" cm="1">
        <f t="array" ref="P639">_xlfn.IFS(E639&lt;=2,"&lt;=2",E639&gt;2,"&gt;2")</f>
        <v>&lt;=2</v>
      </c>
    </row>
    <row r="640" spans="1:16">
      <c r="A640" s="2">
        <v>18949</v>
      </c>
      <c r="B640" s="2" t="s">
        <v>28</v>
      </c>
      <c r="C640" s="2" t="s">
        <v>16</v>
      </c>
      <c r="D640" s="6">
        <v>70000</v>
      </c>
      <c r="E640" s="2">
        <v>0</v>
      </c>
      <c r="F640" s="2" t="s">
        <v>37</v>
      </c>
      <c r="G640" s="2" t="s">
        <v>34</v>
      </c>
      <c r="H640" s="2" t="s">
        <v>20</v>
      </c>
      <c r="I640" s="2">
        <v>2</v>
      </c>
      <c r="J640" s="4" t="s">
        <v>29</v>
      </c>
      <c r="K640" s="2" t="s">
        <v>38</v>
      </c>
      <c r="L640" s="2">
        <v>74</v>
      </c>
      <c r="M640" t="str" cm="1">
        <f t="array" ref="M640">_xlfn.IFS(L640&lt;=35,"YOUNG_ADULTS",L640&lt;=55,"MIDDLE_AGED",L640&gt;55,"OLD-AGED")</f>
        <v>OLD-AGED</v>
      </c>
      <c r="N640" s="2" t="s">
        <v>20</v>
      </c>
      <c r="O640" t="str" cm="1">
        <f t="array" ref="O640">_xlfn.IFS(D640&lt;=50000,"low income",D640&lt;=100000,"Mid income",D640&gt;100000,"High income")</f>
        <v>Mid income</v>
      </c>
      <c r="P640" t="str" cm="1">
        <f t="array" ref="P640">_xlfn.IFS(E640&lt;=2,"&lt;=2",E640&gt;2,"&gt;2")</f>
        <v>&lt;=2</v>
      </c>
    </row>
    <row r="641" spans="1:16">
      <c r="A641" s="2">
        <v>14507</v>
      </c>
      <c r="B641" s="2" t="s">
        <v>16</v>
      </c>
      <c r="C641" s="2" t="s">
        <v>16</v>
      </c>
      <c r="D641" s="6">
        <v>100000</v>
      </c>
      <c r="E641" s="2">
        <v>2</v>
      </c>
      <c r="F641" s="2" t="s">
        <v>37</v>
      </c>
      <c r="G641" s="2" t="s">
        <v>34</v>
      </c>
      <c r="H641" s="2" t="s">
        <v>20</v>
      </c>
      <c r="I641" s="2">
        <v>3</v>
      </c>
      <c r="J641" s="4" t="s">
        <v>32</v>
      </c>
      <c r="K641" s="2" t="s">
        <v>38</v>
      </c>
      <c r="L641" s="2">
        <v>65</v>
      </c>
      <c r="M641" t="str" cm="1">
        <f t="array" ref="M641">_xlfn.IFS(L641&lt;=35,"YOUNG_ADULTS",L641&lt;=55,"MIDDLE_AGED",L641&gt;55,"OLD-AGED")</f>
        <v>OLD-AGED</v>
      </c>
      <c r="O641" t="str" cm="1">
        <f t="array" ref="O641">_xlfn.IFS(D641&lt;=50000,"low income",D641&lt;=100000,"Mid income",D641&gt;100000,"High income")</f>
        <v>Mid income</v>
      </c>
      <c r="P641" t="str" cm="1">
        <f t="array" ref="P641">_xlfn.IFS(E641&lt;=2,"&lt;=2",E641&gt;2,"&gt;2")</f>
        <v>&lt;=2</v>
      </c>
    </row>
    <row r="642" spans="1:16">
      <c r="A642" s="2">
        <v>25886</v>
      </c>
      <c r="B642" s="2" t="s">
        <v>16</v>
      </c>
      <c r="C642" s="2" t="s">
        <v>17</v>
      </c>
      <c r="D642" s="6">
        <v>60000</v>
      </c>
      <c r="E642" s="2">
        <v>2</v>
      </c>
      <c r="F642" s="2" t="s">
        <v>23</v>
      </c>
      <c r="G642" s="2" t="s">
        <v>25</v>
      </c>
      <c r="H642" s="2" t="s">
        <v>20</v>
      </c>
      <c r="I642" s="2">
        <v>2</v>
      </c>
      <c r="J642" s="4" t="s">
        <v>27</v>
      </c>
      <c r="K642" s="2" t="s">
        <v>38</v>
      </c>
      <c r="L642" s="2">
        <v>56</v>
      </c>
      <c r="M642" t="str" cm="1">
        <f t="array" ref="M642">_xlfn.IFS(L642&lt;=35,"YOUNG_ADULTS",L642&lt;=55,"MIDDLE_AGED",L642&gt;55,"OLD-AGED")</f>
        <v>OLD-AGED</v>
      </c>
      <c r="N642" s="2" t="s">
        <v>20</v>
      </c>
      <c r="O642" t="str" cm="1">
        <f t="array" ref="O642">_xlfn.IFS(D642&lt;=50000,"low income",D642&lt;=100000,"Mid income",D642&gt;100000,"High income")</f>
        <v>Mid income</v>
      </c>
      <c r="P642" t="str" cm="1">
        <f t="array" ref="P642">_xlfn.IFS(E642&lt;=2,"&lt;=2",E642&gt;2,"&gt;2")</f>
        <v>&lt;=2</v>
      </c>
    </row>
    <row r="643" spans="1:16">
      <c r="A643" s="2">
        <v>21441</v>
      </c>
      <c r="B643" s="2" t="s">
        <v>16</v>
      </c>
      <c r="C643" s="2" t="s">
        <v>16</v>
      </c>
      <c r="D643" s="6">
        <v>50000</v>
      </c>
      <c r="E643" s="2">
        <v>4</v>
      </c>
      <c r="F643" s="2" t="s">
        <v>18</v>
      </c>
      <c r="G643" s="2" t="s">
        <v>34</v>
      </c>
      <c r="H643" s="2" t="s">
        <v>20</v>
      </c>
      <c r="I643" s="2">
        <v>2</v>
      </c>
      <c r="J643" s="4" t="s">
        <v>36</v>
      </c>
      <c r="K643" s="2" t="s">
        <v>38</v>
      </c>
      <c r="L643" s="2">
        <v>64</v>
      </c>
      <c r="M643" t="str" cm="1">
        <f t="array" ref="M643">_xlfn.IFS(L643&lt;=35,"YOUNG_ADULTS",L643&lt;=55,"MIDDLE_AGED",L643&gt;55,"OLD-AGED")</f>
        <v>OLD-AGED</v>
      </c>
      <c r="O643" t="str" cm="1">
        <f t="array" ref="O643">_xlfn.IFS(D643&lt;=50000,"low income",D643&lt;=100000,"Mid income",D643&gt;100000,"High income")</f>
        <v>low income</v>
      </c>
      <c r="P643" t="str" cm="1">
        <f t="array" ref="P643">_xlfn.IFS(E643&lt;=2,"&lt;=2",E643&gt;2,"&gt;2")</f>
        <v>&gt;2</v>
      </c>
    </row>
    <row r="644" spans="1:16">
      <c r="A644" s="2">
        <v>21741</v>
      </c>
      <c r="B644" s="2" t="s">
        <v>16</v>
      </c>
      <c r="C644" s="2" t="s">
        <v>17</v>
      </c>
      <c r="D644" s="6">
        <v>70000</v>
      </c>
      <c r="E644" s="2">
        <v>3</v>
      </c>
      <c r="F644" s="2" t="s">
        <v>23</v>
      </c>
      <c r="G644" s="2" t="s">
        <v>25</v>
      </c>
      <c r="H644" s="2" t="s">
        <v>20</v>
      </c>
      <c r="I644" s="2">
        <v>2</v>
      </c>
      <c r="J644" s="4" t="s">
        <v>29</v>
      </c>
      <c r="K644" s="2" t="s">
        <v>38</v>
      </c>
      <c r="L644" s="2">
        <v>50</v>
      </c>
      <c r="M644" t="str" cm="1">
        <f t="array" ref="M644">_xlfn.IFS(L644&lt;=35,"YOUNG_ADULTS",L644&lt;=55,"MIDDLE_AGED",L644&gt;55,"OLD-AGED")</f>
        <v>MIDDLE_AGED</v>
      </c>
      <c r="N644" s="2" t="s">
        <v>20</v>
      </c>
      <c r="O644" t="str" cm="1">
        <f t="array" ref="O644">_xlfn.IFS(D644&lt;=50000,"low income",D644&lt;=100000,"Mid income",D644&gt;100000,"High income")</f>
        <v>Mid income</v>
      </c>
      <c r="P644" t="str" cm="1">
        <f t="array" ref="P644">_xlfn.IFS(E644&lt;=2,"&lt;=2",E644&gt;2,"&gt;2")</f>
        <v>&gt;2</v>
      </c>
    </row>
    <row r="645" spans="1:16">
      <c r="A645" s="2">
        <v>14572</v>
      </c>
      <c r="B645" s="2" t="s">
        <v>16</v>
      </c>
      <c r="C645" s="2" t="s">
        <v>17</v>
      </c>
      <c r="D645" s="6">
        <v>70000</v>
      </c>
      <c r="E645" s="2">
        <v>3</v>
      </c>
      <c r="F645" s="2" t="s">
        <v>37</v>
      </c>
      <c r="G645" s="2" t="s">
        <v>25</v>
      </c>
      <c r="H645" s="2" t="s">
        <v>20</v>
      </c>
      <c r="I645" s="2">
        <v>0</v>
      </c>
      <c r="J645" s="4" t="s">
        <v>27</v>
      </c>
      <c r="K645" s="2" t="s">
        <v>38</v>
      </c>
      <c r="L645" s="2">
        <v>35</v>
      </c>
      <c r="M645" t="str" cm="1">
        <f t="array" ref="M645">_xlfn.IFS(L645&lt;=35,"YOUNG_ADULTS",L645&lt;=55,"MIDDLE_AGED",L645&gt;55,"OLD-AGED")</f>
        <v>YOUNG_ADULTS</v>
      </c>
      <c r="N645" s="2" t="s">
        <v>20</v>
      </c>
      <c r="O645" t="str" cm="1">
        <f t="array" ref="O645">_xlfn.IFS(D645&lt;=50000,"low income",D645&lt;=100000,"Mid income",D645&gt;100000,"High income")</f>
        <v>Mid income</v>
      </c>
      <c r="P645" t="str" cm="1">
        <f t="array" ref="P645">_xlfn.IFS(E645&lt;=2,"&lt;=2",E645&gt;2,"&gt;2")</f>
        <v>&gt;2</v>
      </c>
    </row>
    <row r="646" spans="1:16">
      <c r="A646" s="2">
        <v>23368</v>
      </c>
      <c r="B646" s="2" t="s">
        <v>16</v>
      </c>
      <c r="C646" s="2" t="s">
        <v>17</v>
      </c>
      <c r="D646" s="6">
        <v>60000</v>
      </c>
      <c r="E646" s="2">
        <v>5</v>
      </c>
      <c r="F646" s="2" t="s">
        <v>18</v>
      </c>
      <c r="G646" s="2" t="s">
        <v>19</v>
      </c>
      <c r="H646" s="2" t="s">
        <v>20</v>
      </c>
      <c r="I646" s="2">
        <v>3</v>
      </c>
      <c r="J646" s="4" t="s">
        <v>36</v>
      </c>
      <c r="K646" s="2" t="s">
        <v>38</v>
      </c>
      <c r="L646" s="2">
        <v>41</v>
      </c>
      <c r="M646" t="str" cm="1">
        <f t="array" ref="M646">_xlfn.IFS(L646&lt;=35,"YOUNG_ADULTS",L646&lt;=55,"MIDDLE_AGED",L646&gt;55,"OLD-AGED")</f>
        <v>MIDDLE_AGED</v>
      </c>
      <c r="O646" t="str" cm="1">
        <f t="array" ref="O646">_xlfn.IFS(D646&lt;=50000,"low income",D646&lt;=100000,"Mid income",D646&gt;100000,"High income")</f>
        <v>Mid income</v>
      </c>
      <c r="P646" t="str" cm="1">
        <f t="array" ref="P646">_xlfn.IFS(E646&lt;=2,"&lt;=2",E646&gt;2,"&gt;2")</f>
        <v>&gt;2</v>
      </c>
    </row>
    <row r="647" spans="1:16">
      <c r="A647" s="2">
        <v>16217</v>
      </c>
      <c r="B647" s="2" t="s">
        <v>28</v>
      </c>
      <c r="C647" s="2" t="s">
        <v>17</v>
      </c>
      <c r="D647" s="6">
        <v>60000</v>
      </c>
      <c r="E647" s="2">
        <v>0</v>
      </c>
      <c r="F647" s="2" t="s">
        <v>37</v>
      </c>
      <c r="G647" s="2" t="s">
        <v>19</v>
      </c>
      <c r="H647" s="2" t="s">
        <v>20</v>
      </c>
      <c r="I647" s="2">
        <v>0</v>
      </c>
      <c r="J647" s="4" t="s">
        <v>21</v>
      </c>
      <c r="K647" s="2" t="s">
        <v>38</v>
      </c>
      <c r="L647" s="2">
        <v>39</v>
      </c>
      <c r="M647" t="str" cm="1">
        <f t="array" ref="M647">_xlfn.IFS(L647&lt;=35,"YOUNG_ADULTS",L647&lt;=55,"MIDDLE_AGED",L647&gt;55,"OLD-AGED")</f>
        <v>MIDDLE_AGED</v>
      </c>
      <c r="O647" t="str" cm="1">
        <f t="array" ref="O647">_xlfn.IFS(D647&lt;=50000,"low income",D647&lt;=100000,"Mid income",D647&gt;100000,"High income")</f>
        <v>Mid income</v>
      </c>
      <c r="P647" t="str" cm="1">
        <f t="array" ref="P647">_xlfn.IFS(E647&lt;=2,"&lt;=2",E647&gt;2,"&gt;2")</f>
        <v>&lt;=2</v>
      </c>
    </row>
    <row r="648" spans="1:16">
      <c r="A648" s="2">
        <v>16247</v>
      </c>
      <c r="B648" s="2" t="s">
        <v>28</v>
      </c>
      <c r="C648" s="2" t="s">
        <v>17</v>
      </c>
      <c r="D648" s="6">
        <v>60000</v>
      </c>
      <c r="E648" s="2">
        <v>4</v>
      </c>
      <c r="F648" s="2" t="s">
        <v>37</v>
      </c>
      <c r="G648" s="2" t="s">
        <v>19</v>
      </c>
      <c r="H648" s="2" t="s">
        <v>26</v>
      </c>
      <c r="I648" s="2">
        <v>0</v>
      </c>
      <c r="J648" s="4" t="s">
        <v>32</v>
      </c>
      <c r="K648" s="2" t="s">
        <v>38</v>
      </c>
      <c r="L648" s="2">
        <v>47</v>
      </c>
      <c r="M648" t="str" cm="1">
        <f t="array" ref="M648">_xlfn.IFS(L648&lt;=35,"YOUNG_ADULTS",L648&lt;=55,"MIDDLE_AGED",L648&gt;55,"OLD-AGED")</f>
        <v>MIDDLE_AGED</v>
      </c>
      <c r="O648" t="str" cm="1">
        <f t="array" ref="O648">_xlfn.IFS(D648&lt;=50000,"low income",D648&lt;=100000,"Mid income",D648&gt;100000,"High income")</f>
        <v>Mid income</v>
      </c>
      <c r="P648" t="str" cm="1">
        <f t="array" ref="P648">_xlfn.IFS(E648&lt;=2,"&lt;=2",E648&gt;2,"&gt;2")</f>
        <v>&gt;2</v>
      </c>
    </row>
    <row r="649" spans="1:16">
      <c r="A649" s="2">
        <v>22010</v>
      </c>
      <c r="B649" s="2" t="s">
        <v>28</v>
      </c>
      <c r="C649" s="2" t="s">
        <v>16</v>
      </c>
      <c r="D649" s="6">
        <v>40000</v>
      </c>
      <c r="E649" s="2">
        <v>0</v>
      </c>
      <c r="F649" s="2" t="s">
        <v>33</v>
      </c>
      <c r="G649" s="2" t="s">
        <v>19</v>
      </c>
      <c r="H649" s="2" t="s">
        <v>20</v>
      </c>
      <c r="I649" s="2">
        <v>2</v>
      </c>
      <c r="J649" s="4" t="s">
        <v>29</v>
      </c>
      <c r="K649" s="2" t="s">
        <v>38</v>
      </c>
      <c r="L649" s="2">
        <v>31</v>
      </c>
      <c r="M649" t="str" cm="1">
        <f t="array" ref="M649">_xlfn.IFS(L649&lt;=35,"YOUNG_ADULTS",L649&lt;=55,"MIDDLE_AGED",L649&gt;55,"OLD-AGED")</f>
        <v>YOUNG_ADULTS</v>
      </c>
      <c r="O649" t="str" cm="1">
        <f t="array" ref="O649">_xlfn.IFS(D649&lt;=50000,"low income",D649&lt;=100000,"Mid income",D649&gt;100000,"High income")</f>
        <v>low income</v>
      </c>
      <c r="P649" t="str" cm="1">
        <f t="array" ref="P649">_xlfn.IFS(E649&lt;=2,"&lt;=2",E649&gt;2,"&gt;2")</f>
        <v>&lt;=2</v>
      </c>
    </row>
    <row r="650" spans="1:16">
      <c r="A650" s="2">
        <v>25872</v>
      </c>
      <c r="B650" s="2" t="s">
        <v>28</v>
      </c>
      <c r="C650" s="2" t="s">
        <v>17</v>
      </c>
      <c r="D650" s="6">
        <v>70000</v>
      </c>
      <c r="E650" s="2">
        <v>2</v>
      </c>
      <c r="F650" s="2" t="s">
        <v>18</v>
      </c>
      <c r="G650" s="2" t="s">
        <v>34</v>
      </c>
      <c r="H650" s="2" t="s">
        <v>26</v>
      </c>
      <c r="I650" s="2">
        <v>1</v>
      </c>
      <c r="J650" s="4" t="s">
        <v>27</v>
      </c>
      <c r="K650" s="2" t="s">
        <v>38</v>
      </c>
      <c r="L650" s="2">
        <v>58</v>
      </c>
      <c r="M650" t="str" cm="1">
        <f t="array" ref="M650">_xlfn.IFS(L650&lt;=35,"YOUNG_ADULTS",L650&lt;=55,"MIDDLE_AGED",L650&gt;55,"OLD-AGED")</f>
        <v>OLD-AGED</v>
      </c>
      <c r="N650" s="2" t="s">
        <v>20</v>
      </c>
      <c r="O650" t="str" cm="1">
        <f t="array" ref="O650">_xlfn.IFS(D650&lt;=50000,"low income",D650&lt;=100000,"Mid income",D650&gt;100000,"High income")</f>
        <v>Mid income</v>
      </c>
      <c r="P650" t="str" cm="1">
        <f t="array" ref="P650">_xlfn.IFS(E650&lt;=2,"&lt;=2",E650&gt;2,"&gt;2")</f>
        <v>&lt;=2</v>
      </c>
    </row>
    <row r="651" spans="1:16">
      <c r="A651" s="2">
        <v>19164</v>
      </c>
      <c r="B651" s="2" t="s">
        <v>28</v>
      </c>
      <c r="C651" s="2" t="s">
        <v>17</v>
      </c>
      <c r="D651" s="6">
        <v>70000</v>
      </c>
      <c r="E651" s="2">
        <v>0</v>
      </c>
      <c r="F651" s="2" t="s">
        <v>18</v>
      </c>
      <c r="G651" s="2" t="s">
        <v>25</v>
      </c>
      <c r="H651" s="2" t="s">
        <v>26</v>
      </c>
      <c r="I651" s="2">
        <v>1</v>
      </c>
      <c r="J651" s="4" t="s">
        <v>27</v>
      </c>
      <c r="K651" s="2" t="s">
        <v>38</v>
      </c>
      <c r="L651" s="2">
        <v>38</v>
      </c>
      <c r="M651" t="str" cm="1">
        <f t="array" ref="M651">_xlfn.IFS(L651&lt;=35,"YOUNG_ADULTS",L651&lt;=55,"MIDDLE_AGED",L651&gt;55,"OLD-AGED")</f>
        <v>MIDDLE_AGED</v>
      </c>
      <c r="N651" s="2" t="s">
        <v>20</v>
      </c>
      <c r="O651" t="str" cm="1">
        <f t="array" ref="O651">_xlfn.IFS(D651&lt;=50000,"low income",D651&lt;=100000,"Mid income",D651&gt;100000,"High income")</f>
        <v>Mid income</v>
      </c>
      <c r="P651" t="str" cm="1">
        <f t="array" ref="P651">_xlfn.IFS(E651&lt;=2,"&lt;=2",E651&gt;2,"&gt;2")</f>
        <v>&lt;=2</v>
      </c>
    </row>
    <row r="652" spans="1:16">
      <c r="A652" s="2">
        <v>18435</v>
      </c>
      <c r="B652" s="2" t="s">
        <v>28</v>
      </c>
      <c r="C652" s="2" t="s">
        <v>17</v>
      </c>
      <c r="D652" s="6">
        <v>70000</v>
      </c>
      <c r="E652" s="2">
        <v>5</v>
      </c>
      <c r="F652" s="2" t="s">
        <v>37</v>
      </c>
      <c r="G652" s="2" t="s">
        <v>34</v>
      </c>
      <c r="H652" s="2" t="s">
        <v>20</v>
      </c>
      <c r="I652" s="2">
        <v>2</v>
      </c>
      <c r="J652" s="4" t="s">
        <v>36</v>
      </c>
      <c r="K652" s="2" t="s">
        <v>38</v>
      </c>
      <c r="L652" s="2">
        <v>67</v>
      </c>
      <c r="M652" t="str" cm="1">
        <f t="array" ref="M652">_xlfn.IFS(L652&lt;=35,"YOUNG_ADULTS",L652&lt;=55,"MIDDLE_AGED",L652&gt;55,"OLD-AGED")</f>
        <v>OLD-AGED</v>
      </c>
      <c r="N652" s="2" t="s">
        <v>20</v>
      </c>
      <c r="O652" t="str" cm="1">
        <f t="array" ref="O652">_xlfn.IFS(D652&lt;=50000,"low income",D652&lt;=100000,"Mid income",D652&gt;100000,"High income")</f>
        <v>Mid income</v>
      </c>
      <c r="P652" t="str" cm="1">
        <f t="array" ref="P652">_xlfn.IFS(E652&lt;=2,"&lt;=2",E652&gt;2,"&gt;2")</f>
        <v>&gt;2</v>
      </c>
    </row>
    <row r="653" spans="1:16">
      <c r="A653" s="2">
        <v>14284</v>
      </c>
      <c r="B653" s="2" t="s">
        <v>28</v>
      </c>
      <c r="C653" s="2" t="s">
        <v>16</v>
      </c>
      <c r="D653" s="6">
        <v>60000</v>
      </c>
      <c r="E653" s="2">
        <v>0</v>
      </c>
      <c r="F653" s="2" t="s">
        <v>23</v>
      </c>
      <c r="G653" s="2" t="s">
        <v>25</v>
      </c>
      <c r="H653" s="2" t="s">
        <v>26</v>
      </c>
      <c r="I653" s="2">
        <v>2</v>
      </c>
      <c r="J653" s="4" t="s">
        <v>32</v>
      </c>
      <c r="K653" s="2" t="s">
        <v>38</v>
      </c>
      <c r="L653" s="2">
        <v>32</v>
      </c>
      <c r="M653" t="str" cm="1">
        <f t="array" ref="M653">_xlfn.IFS(L653&lt;=35,"YOUNG_ADULTS",L653&lt;=55,"MIDDLE_AGED",L653&gt;55,"OLD-AGED")</f>
        <v>YOUNG_ADULTS</v>
      </c>
      <c r="N653" s="2" t="s">
        <v>20</v>
      </c>
      <c r="O653" t="str" cm="1">
        <f t="array" ref="O653">_xlfn.IFS(D653&lt;=50000,"low income",D653&lt;=100000,"Mid income",D653&gt;100000,"High income")</f>
        <v>Mid income</v>
      </c>
      <c r="P653" t="str" cm="1">
        <f t="array" ref="P653">_xlfn.IFS(E653&lt;=2,"&lt;=2",E653&gt;2,"&gt;2")</f>
        <v>&lt;=2</v>
      </c>
    </row>
    <row r="654" spans="1:16">
      <c r="A654" s="2">
        <v>11287</v>
      </c>
      <c r="B654" s="2" t="s">
        <v>16</v>
      </c>
      <c r="C654" s="2" t="s">
        <v>16</v>
      </c>
      <c r="D654" s="6">
        <v>70000</v>
      </c>
      <c r="E654" s="2">
        <v>5</v>
      </c>
      <c r="F654" s="2" t="s">
        <v>23</v>
      </c>
      <c r="G654" s="2" t="s">
        <v>25</v>
      </c>
      <c r="H654" s="2" t="s">
        <v>26</v>
      </c>
      <c r="I654" s="2">
        <v>3</v>
      </c>
      <c r="J654" s="4" t="s">
        <v>29</v>
      </c>
      <c r="K654" s="2" t="s">
        <v>38</v>
      </c>
      <c r="L654" s="2">
        <v>45</v>
      </c>
      <c r="M654" t="str" cm="1">
        <f t="array" ref="M654">_xlfn.IFS(L654&lt;=35,"YOUNG_ADULTS",L654&lt;=55,"MIDDLE_AGED",L654&gt;55,"OLD-AGED")</f>
        <v>MIDDLE_AGED</v>
      </c>
      <c r="O654" t="str" cm="1">
        <f t="array" ref="O654">_xlfn.IFS(D654&lt;=50000,"low income",D654&lt;=100000,"Mid income",D654&gt;100000,"High income")</f>
        <v>Mid income</v>
      </c>
      <c r="P654" t="str" cm="1">
        <f t="array" ref="P654">_xlfn.IFS(E654&lt;=2,"&lt;=2",E654&gt;2,"&gt;2")</f>
        <v>&gt;2</v>
      </c>
    </row>
    <row r="655" spans="1:16">
      <c r="A655" s="2">
        <v>13066</v>
      </c>
      <c r="B655" s="2" t="s">
        <v>28</v>
      </c>
      <c r="C655" s="2" t="s">
        <v>16</v>
      </c>
      <c r="D655" s="6">
        <v>30000</v>
      </c>
      <c r="E655" s="2">
        <v>0</v>
      </c>
      <c r="F655" s="2" t="s">
        <v>33</v>
      </c>
      <c r="G655" s="2" t="s">
        <v>19</v>
      </c>
      <c r="H655" s="2" t="s">
        <v>26</v>
      </c>
      <c r="I655" s="2">
        <v>2</v>
      </c>
      <c r="J655" s="4" t="s">
        <v>32</v>
      </c>
      <c r="K655" s="2" t="s">
        <v>38</v>
      </c>
      <c r="L655" s="2">
        <v>31</v>
      </c>
      <c r="M655" t="str" cm="1">
        <f t="array" ref="M655">_xlfn.IFS(L655&lt;=35,"YOUNG_ADULTS",L655&lt;=55,"MIDDLE_AGED",L655&gt;55,"OLD-AGED")</f>
        <v>YOUNG_ADULTS</v>
      </c>
      <c r="N655" s="2" t="s">
        <v>20</v>
      </c>
      <c r="O655" t="str" cm="1">
        <f t="array" ref="O655">_xlfn.IFS(D655&lt;=50000,"low income",D655&lt;=100000,"Mid income",D655&gt;100000,"High income")</f>
        <v>low income</v>
      </c>
      <c r="P655" t="str" cm="1">
        <f t="array" ref="P655">_xlfn.IFS(E655&lt;=2,"&lt;=2",E655&gt;2,"&gt;2")</f>
        <v>&lt;=2</v>
      </c>
    </row>
    <row r="656" spans="1:16">
      <c r="A656" s="2">
        <v>29106</v>
      </c>
      <c r="B656" s="2" t="s">
        <v>28</v>
      </c>
      <c r="C656" s="2" t="s">
        <v>16</v>
      </c>
      <c r="D656" s="6">
        <v>40000</v>
      </c>
      <c r="E656" s="2">
        <v>0</v>
      </c>
      <c r="F656" s="2" t="s">
        <v>33</v>
      </c>
      <c r="G656" s="2" t="s">
        <v>19</v>
      </c>
      <c r="H656" s="2" t="s">
        <v>26</v>
      </c>
      <c r="I656" s="2">
        <v>2</v>
      </c>
      <c r="J656" s="4" t="s">
        <v>32</v>
      </c>
      <c r="K656" s="2" t="s">
        <v>38</v>
      </c>
      <c r="L656" s="2">
        <v>31</v>
      </c>
      <c r="M656" t="str" cm="1">
        <f t="array" ref="M656">_xlfn.IFS(L656&lt;=35,"YOUNG_ADULTS",L656&lt;=55,"MIDDLE_AGED",L656&gt;55,"OLD-AGED")</f>
        <v>YOUNG_ADULTS</v>
      </c>
      <c r="N656" s="2" t="s">
        <v>20</v>
      </c>
      <c r="O656" t="str" cm="1">
        <f t="array" ref="O656">_xlfn.IFS(D656&lt;=50000,"low income",D656&lt;=100000,"Mid income",D656&gt;100000,"High income")</f>
        <v>low income</v>
      </c>
      <c r="P656" t="str" cm="1">
        <f t="array" ref="P656">_xlfn.IFS(E656&lt;=2,"&lt;=2",E656&gt;2,"&gt;2")</f>
        <v>&lt;=2</v>
      </c>
    </row>
    <row r="657" spans="1:16">
      <c r="A657" s="2">
        <v>26236</v>
      </c>
      <c r="B657" s="2" t="s">
        <v>16</v>
      </c>
      <c r="C657" s="2" t="s">
        <v>17</v>
      </c>
      <c r="D657" s="6">
        <v>40000</v>
      </c>
      <c r="E657" s="2">
        <v>3</v>
      </c>
      <c r="F657" s="2" t="s">
        <v>23</v>
      </c>
      <c r="G657" s="2" t="s">
        <v>24</v>
      </c>
      <c r="H657" s="2" t="s">
        <v>20</v>
      </c>
      <c r="I657" s="2">
        <v>1</v>
      </c>
      <c r="J657" s="4" t="s">
        <v>21</v>
      </c>
      <c r="K657" s="2" t="s">
        <v>38</v>
      </c>
      <c r="L657" s="2">
        <v>31</v>
      </c>
      <c r="M657" t="str" cm="1">
        <f t="array" ref="M657">_xlfn.IFS(L657&lt;=35,"YOUNG_ADULTS",L657&lt;=55,"MIDDLE_AGED",L657&gt;55,"OLD-AGED")</f>
        <v>YOUNG_ADULTS</v>
      </c>
      <c r="O657" t="str" cm="1">
        <f t="array" ref="O657">_xlfn.IFS(D657&lt;=50000,"low income",D657&lt;=100000,"Mid income",D657&gt;100000,"High income")</f>
        <v>low income</v>
      </c>
      <c r="P657" t="str" cm="1">
        <f t="array" ref="P657">_xlfn.IFS(E657&lt;=2,"&lt;=2",E657&gt;2,"&gt;2")</f>
        <v>&gt;2</v>
      </c>
    </row>
    <row r="658" spans="1:16">
      <c r="A658" s="2">
        <v>17531</v>
      </c>
      <c r="B658" s="2" t="s">
        <v>16</v>
      </c>
      <c r="C658" s="2" t="s">
        <v>16</v>
      </c>
      <c r="D658" s="6">
        <v>60000</v>
      </c>
      <c r="E658" s="2">
        <v>2</v>
      </c>
      <c r="F658" s="2" t="s">
        <v>33</v>
      </c>
      <c r="G658" s="2" t="s">
        <v>25</v>
      </c>
      <c r="H658" s="2" t="s">
        <v>26</v>
      </c>
      <c r="I658" s="2">
        <v>2</v>
      </c>
      <c r="J658" s="4" t="s">
        <v>29</v>
      </c>
      <c r="K658" s="2" t="s">
        <v>38</v>
      </c>
      <c r="L658" s="2">
        <v>50</v>
      </c>
      <c r="M658" t="str" cm="1">
        <f t="array" ref="M658">_xlfn.IFS(L658&lt;=35,"YOUNG_ADULTS",L658&lt;=55,"MIDDLE_AGED",L658&gt;55,"OLD-AGED")</f>
        <v>MIDDLE_AGED</v>
      </c>
      <c r="O658" t="str" cm="1">
        <f t="array" ref="O658">_xlfn.IFS(D658&lt;=50000,"low income",D658&lt;=100000,"Mid income",D658&gt;100000,"High income")</f>
        <v>Mid income</v>
      </c>
      <c r="P658" t="str" cm="1">
        <f t="array" ref="P658">_xlfn.IFS(E658&lt;=2,"&lt;=2",E658&gt;2,"&gt;2")</f>
        <v>&lt;=2</v>
      </c>
    </row>
    <row r="659" spans="1:16">
      <c r="A659" s="2">
        <v>12964</v>
      </c>
      <c r="B659" s="2" t="s">
        <v>16</v>
      </c>
      <c r="C659" s="2" t="s">
        <v>16</v>
      </c>
      <c r="D659" s="6">
        <v>70000</v>
      </c>
      <c r="E659" s="2">
        <v>1</v>
      </c>
      <c r="F659" s="2" t="s">
        <v>23</v>
      </c>
      <c r="G659" s="2" t="s">
        <v>19</v>
      </c>
      <c r="H659" s="2" t="s">
        <v>20</v>
      </c>
      <c r="I659" s="2">
        <v>1</v>
      </c>
      <c r="J659" s="4" t="s">
        <v>21</v>
      </c>
      <c r="K659" s="2" t="s">
        <v>38</v>
      </c>
      <c r="L659" s="2">
        <v>44</v>
      </c>
      <c r="M659" t="str" cm="1">
        <f t="array" ref="M659">_xlfn.IFS(L659&lt;=35,"YOUNG_ADULTS",L659&lt;=55,"MIDDLE_AGED",L659&gt;55,"OLD-AGED")</f>
        <v>MIDDLE_AGED</v>
      </c>
      <c r="O659" t="str" cm="1">
        <f t="array" ref="O659">_xlfn.IFS(D659&lt;=50000,"low income",D659&lt;=100000,"Mid income",D659&gt;100000,"High income")</f>
        <v>Mid income</v>
      </c>
      <c r="P659" t="str" cm="1">
        <f t="array" ref="P659">_xlfn.IFS(E659&lt;=2,"&lt;=2",E659&gt;2,"&gt;2")</f>
        <v>&lt;=2</v>
      </c>
    </row>
    <row r="660" spans="1:16">
      <c r="A660" s="2">
        <v>19133</v>
      </c>
      <c r="B660" s="2" t="s">
        <v>28</v>
      </c>
      <c r="C660" s="2" t="s">
        <v>16</v>
      </c>
      <c r="D660" s="6">
        <v>50000</v>
      </c>
      <c r="E660" s="2">
        <v>2</v>
      </c>
      <c r="F660" s="2" t="s">
        <v>18</v>
      </c>
      <c r="G660" s="2" t="s">
        <v>19</v>
      </c>
      <c r="H660" s="2" t="s">
        <v>20</v>
      </c>
      <c r="I660" s="2">
        <v>1</v>
      </c>
      <c r="J660" s="4" t="s">
        <v>27</v>
      </c>
      <c r="K660" s="2" t="s">
        <v>38</v>
      </c>
      <c r="L660" s="2">
        <v>38</v>
      </c>
      <c r="M660" t="str" cm="1">
        <f t="array" ref="M660">_xlfn.IFS(L660&lt;=35,"YOUNG_ADULTS",L660&lt;=55,"MIDDLE_AGED",L660&gt;55,"OLD-AGED")</f>
        <v>MIDDLE_AGED</v>
      </c>
      <c r="N660" s="2" t="s">
        <v>20</v>
      </c>
      <c r="O660" t="str" cm="1">
        <f t="array" ref="O660">_xlfn.IFS(D660&lt;=50000,"low income",D660&lt;=100000,"Mid income",D660&gt;100000,"High income")</f>
        <v>low income</v>
      </c>
      <c r="P660" t="str" cm="1">
        <f t="array" ref="P660">_xlfn.IFS(E660&lt;=2,"&lt;=2",E660&gt;2,"&gt;2")</f>
        <v>&lt;=2</v>
      </c>
    </row>
    <row r="661" spans="1:16">
      <c r="A661" s="2">
        <v>24643</v>
      </c>
      <c r="B661" s="2" t="s">
        <v>28</v>
      </c>
      <c r="C661" s="2" t="s">
        <v>17</v>
      </c>
      <c r="D661" s="6">
        <v>60000</v>
      </c>
      <c r="E661" s="2">
        <v>4</v>
      </c>
      <c r="F661" s="2" t="s">
        <v>18</v>
      </c>
      <c r="G661" s="2" t="s">
        <v>34</v>
      </c>
      <c r="H661" s="2" t="s">
        <v>20</v>
      </c>
      <c r="I661" s="2">
        <v>2</v>
      </c>
      <c r="J661" s="4" t="s">
        <v>36</v>
      </c>
      <c r="K661" s="2" t="s">
        <v>38</v>
      </c>
      <c r="L661" s="2">
        <v>63</v>
      </c>
      <c r="M661" t="str" cm="1">
        <f t="array" ref="M661">_xlfn.IFS(L661&lt;=35,"YOUNG_ADULTS",L661&lt;=55,"MIDDLE_AGED",L661&gt;55,"OLD-AGED")</f>
        <v>OLD-AGED</v>
      </c>
      <c r="O661" t="str" cm="1">
        <f t="array" ref="O661">_xlfn.IFS(D661&lt;=50000,"low income",D661&lt;=100000,"Mid income",D661&gt;100000,"High income")</f>
        <v>Mid income</v>
      </c>
      <c r="P661" t="str" cm="1">
        <f t="array" ref="P661">_xlfn.IFS(E661&lt;=2,"&lt;=2",E661&gt;2,"&gt;2")</f>
        <v>&gt;2</v>
      </c>
    </row>
    <row r="662" spans="1:16">
      <c r="A662" s="2">
        <v>21599</v>
      </c>
      <c r="B662" s="2" t="s">
        <v>16</v>
      </c>
      <c r="C662" s="2" t="s">
        <v>17</v>
      </c>
      <c r="D662" s="6">
        <v>60000</v>
      </c>
      <c r="E662" s="2">
        <v>1</v>
      </c>
      <c r="F662" s="2" t="s">
        <v>37</v>
      </c>
      <c r="G662" s="2" t="s">
        <v>25</v>
      </c>
      <c r="H662" s="2" t="s">
        <v>20</v>
      </c>
      <c r="I662" s="2">
        <v>0</v>
      </c>
      <c r="J662" s="4" t="s">
        <v>27</v>
      </c>
      <c r="K662" s="2" t="s">
        <v>38</v>
      </c>
      <c r="L662" s="2">
        <v>36</v>
      </c>
      <c r="M662" t="str" cm="1">
        <f t="array" ref="M662">_xlfn.IFS(L662&lt;=35,"YOUNG_ADULTS",L662&lt;=55,"MIDDLE_AGED",L662&gt;55,"OLD-AGED")</f>
        <v>MIDDLE_AGED</v>
      </c>
      <c r="N662" s="2" t="s">
        <v>20</v>
      </c>
      <c r="O662" t="str" cm="1">
        <f t="array" ref="O662">_xlfn.IFS(D662&lt;=50000,"low income",D662&lt;=100000,"Mid income",D662&gt;100000,"High income")</f>
        <v>Mid income</v>
      </c>
      <c r="P662" t="str" cm="1">
        <f t="array" ref="P662">_xlfn.IFS(E662&lt;=2,"&lt;=2",E662&gt;2,"&gt;2")</f>
        <v>&lt;=2</v>
      </c>
    </row>
    <row r="663" spans="1:16">
      <c r="A663" s="2">
        <v>22976</v>
      </c>
      <c r="B663" s="2" t="s">
        <v>28</v>
      </c>
      <c r="C663" s="2" t="s">
        <v>16</v>
      </c>
      <c r="D663" s="6">
        <v>40000</v>
      </c>
      <c r="E663" s="2">
        <v>0</v>
      </c>
      <c r="F663" s="2" t="s">
        <v>33</v>
      </c>
      <c r="G663" s="2" t="s">
        <v>19</v>
      </c>
      <c r="H663" s="2" t="s">
        <v>26</v>
      </c>
      <c r="I663" s="2">
        <v>2</v>
      </c>
      <c r="J663" s="4" t="s">
        <v>21</v>
      </c>
      <c r="K663" s="2" t="s">
        <v>38</v>
      </c>
      <c r="L663" s="2">
        <v>28</v>
      </c>
      <c r="M663" t="str" cm="1">
        <f t="array" ref="M663">_xlfn.IFS(L663&lt;=35,"YOUNG_ADULTS",L663&lt;=55,"MIDDLE_AGED",L663&gt;55,"OLD-AGED")</f>
        <v>YOUNG_ADULTS</v>
      </c>
      <c r="N663" s="2" t="s">
        <v>20</v>
      </c>
      <c r="O663" t="str" cm="1">
        <f t="array" ref="O663">_xlfn.IFS(D663&lt;=50000,"low income",D663&lt;=100000,"Mid income",D663&gt;100000,"High income")</f>
        <v>low income</v>
      </c>
      <c r="P663" t="str" cm="1">
        <f t="array" ref="P663">_xlfn.IFS(E663&lt;=2,"&lt;=2",E663&gt;2,"&gt;2")</f>
        <v>&lt;=2</v>
      </c>
    </row>
    <row r="664" spans="1:16">
      <c r="A664" s="2">
        <v>27637</v>
      </c>
      <c r="B664" s="2" t="s">
        <v>28</v>
      </c>
      <c r="C664" s="2" t="s">
        <v>17</v>
      </c>
      <c r="D664" s="6">
        <v>100000</v>
      </c>
      <c r="E664" s="2">
        <v>1</v>
      </c>
      <c r="F664" s="2" t="s">
        <v>23</v>
      </c>
      <c r="G664" s="2" t="s">
        <v>25</v>
      </c>
      <c r="H664" s="2" t="s">
        <v>26</v>
      </c>
      <c r="I664" s="2">
        <v>3</v>
      </c>
      <c r="J664" s="4" t="s">
        <v>32</v>
      </c>
      <c r="K664" s="2" t="s">
        <v>38</v>
      </c>
      <c r="L664" s="2">
        <v>44</v>
      </c>
      <c r="M664" t="str" cm="1">
        <f t="array" ref="M664">_xlfn.IFS(L664&lt;=35,"YOUNG_ADULTS",L664&lt;=55,"MIDDLE_AGED",L664&gt;55,"OLD-AGED")</f>
        <v>MIDDLE_AGED</v>
      </c>
      <c r="O664" t="str" cm="1">
        <f t="array" ref="O664">_xlfn.IFS(D664&lt;=50000,"low income",D664&lt;=100000,"Mid income",D664&gt;100000,"High income")</f>
        <v>Mid income</v>
      </c>
      <c r="P664" t="str" cm="1">
        <f t="array" ref="P664">_xlfn.IFS(E664&lt;=2,"&lt;=2",E664&gt;2,"&gt;2")</f>
        <v>&lt;=2</v>
      </c>
    </row>
    <row r="665" spans="1:16">
      <c r="A665" s="2">
        <v>11890</v>
      </c>
      <c r="B665" s="2" t="s">
        <v>16</v>
      </c>
      <c r="C665" s="2" t="s">
        <v>17</v>
      </c>
      <c r="D665" s="6">
        <v>70000</v>
      </c>
      <c r="E665" s="2">
        <v>5</v>
      </c>
      <c r="F665" s="2" t="s">
        <v>37</v>
      </c>
      <c r="G665" s="2" t="s">
        <v>25</v>
      </c>
      <c r="H665" s="2" t="s">
        <v>20</v>
      </c>
      <c r="I665" s="2">
        <v>1</v>
      </c>
      <c r="J665" s="4" t="s">
        <v>21</v>
      </c>
      <c r="K665" s="2" t="s">
        <v>38</v>
      </c>
      <c r="L665" s="2">
        <v>47</v>
      </c>
      <c r="M665" t="str" cm="1">
        <f t="array" ref="M665">_xlfn.IFS(L665&lt;=35,"YOUNG_ADULTS",L665&lt;=55,"MIDDLE_AGED",L665&gt;55,"OLD-AGED")</f>
        <v>MIDDLE_AGED</v>
      </c>
      <c r="O665" t="str" cm="1">
        <f t="array" ref="O665">_xlfn.IFS(D665&lt;=50000,"low income",D665&lt;=100000,"Mid income",D665&gt;100000,"High income")</f>
        <v>Mid income</v>
      </c>
      <c r="P665" t="str" cm="1">
        <f t="array" ref="P665">_xlfn.IFS(E665&lt;=2,"&lt;=2",E665&gt;2,"&gt;2")</f>
        <v>&gt;2</v>
      </c>
    </row>
    <row r="666" spans="1:16">
      <c r="A666" s="2">
        <v>28580</v>
      </c>
      <c r="B666" s="2" t="s">
        <v>16</v>
      </c>
      <c r="C666" s="2" t="s">
        <v>17</v>
      </c>
      <c r="D666" s="6">
        <v>80000</v>
      </c>
      <c r="E666" s="2">
        <v>0</v>
      </c>
      <c r="F666" s="2" t="s">
        <v>37</v>
      </c>
      <c r="G666" s="2" t="s">
        <v>19</v>
      </c>
      <c r="H666" s="2" t="s">
        <v>20</v>
      </c>
      <c r="I666" s="2">
        <v>0</v>
      </c>
      <c r="J666" s="4" t="s">
        <v>32</v>
      </c>
      <c r="K666" s="2" t="s">
        <v>38</v>
      </c>
      <c r="L666" s="2">
        <v>40</v>
      </c>
      <c r="M666" t="str" cm="1">
        <f t="array" ref="M666">_xlfn.IFS(L666&lt;=35,"YOUNG_ADULTS",L666&lt;=55,"MIDDLE_AGED",L666&gt;55,"OLD-AGED")</f>
        <v>MIDDLE_AGED</v>
      </c>
      <c r="N666" s="2" t="s">
        <v>20</v>
      </c>
      <c r="O666" t="str" cm="1">
        <f t="array" ref="O666">_xlfn.IFS(D666&lt;=50000,"low income",D666&lt;=100000,"Mid income",D666&gt;100000,"High income")</f>
        <v>Mid income</v>
      </c>
      <c r="P666" t="str" cm="1">
        <f t="array" ref="P666">_xlfn.IFS(E666&lt;=2,"&lt;=2",E666&gt;2,"&gt;2")</f>
        <v>&lt;=2</v>
      </c>
    </row>
    <row r="667" spans="1:16">
      <c r="A667" s="2">
        <v>14443</v>
      </c>
      <c r="B667" s="2" t="s">
        <v>16</v>
      </c>
      <c r="C667" s="2" t="s">
        <v>16</v>
      </c>
      <c r="D667" s="6">
        <v>130000</v>
      </c>
      <c r="E667" s="2">
        <v>1</v>
      </c>
      <c r="F667" s="2" t="s">
        <v>37</v>
      </c>
      <c r="G667" s="2" t="s">
        <v>34</v>
      </c>
      <c r="H667" s="2" t="s">
        <v>20</v>
      </c>
      <c r="I667" s="2">
        <v>4</v>
      </c>
      <c r="J667" s="4" t="s">
        <v>21</v>
      </c>
      <c r="K667" s="2" t="s">
        <v>38</v>
      </c>
      <c r="L667" s="2">
        <v>40</v>
      </c>
      <c r="M667" t="str" cm="1">
        <f t="array" ref="M667">_xlfn.IFS(L667&lt;=35,"YOUNG_ADULTS",L667&lt;=55,"MIDDLE_AGED",L667&gt;55,"OLD-AGED")</f>
        <v>MIDDLE_AGED</v>
      </c>
      <c r="O667" t="str" cm="1">
        <f t="array" ref="O667">_xlfn.IFS(D667&lt;=50000,"low income",D667&lt;=100000,"Mid income",D667&gt;100000,"High income")</f>
        <v>High income</v>
      </c>
      <c r="P667" t="str" cm="1">
        <f t="array" ref="P667">_xlfn.IFS(E667&lt;=2,"&lt;=2",E667&gt;2,"&gt;2")</f>
        <v>&lt;=2</v>
      </c>
    </row>
    <row r="668" spans="1:16">
      <c r="A668" s="2">
        <v>17864</v>
      </c>
      <c r="B668" s="2" t="s">
        <v>16</v>
      </c>
      <c r="C668" s="2" t="s">
        <v>17</v>
      </c>
      <c r="D668" s="6">
        <v>60000</v>
      </c>
      <c r="E668" s="2">
        <v>1</v>
      </c>
      <c r="F668" s="2" t="s">
        <v>23</v>
      </c>
      <c r="G668" s="2" t="s">
        <v>19</v>
      </c>
      <c r="H668" s="2" t="s">
        <v>20</v>
      </c>
      <c r="I668" s="2">
        <v>1</v>
      </c>
      <c r="J668" s="4" t="s">
        <v>27</v>
      </c>
      <c r="K668" s="2" t="s">
        <v>38</v>
      </c>
      <c r="L668" s="2">
        <v>46</v>
      </c>
      <c r="M668" t="str" cm="1">
        <f t="array" ref="M668">_xlfn.IFS(L668&lt;=35,"YOUNG_ADULTS",L668&lt;=55,"MIDDLE_AGED",L668&gt;55,"OLD-AGED")</f>
        <v>MIDDLE_AGED</v>
      </c>
      <c r="N668" s="2" t="s">
        <v>20</v>
      </c>
      <c r="O668" t="str" cm="1">
        <f t="array" ref="O668">_xlfn.IFS(D668&lt;=50000,"low income",D668&lt;=100000,"Mid income",D668&gt;100000,"High income")</f>
        <v>Mid income</v>
      </c>
      <c r="P668" t="str" cm="1">
        <f t="array" ref="P668">_xlfn.IFS(E668&lt;=2,"&lt;=2",E668&gt;2,"&gt;2")</f>
        <v>&lt;=2</v>
      </c>
    </row>
    <row r="669" spans="1:16">
      <c r="A669" s="2">
        <v>20505</v>
      </c>
      <c r="B669" s="2" t="s">
        <v>16</v>
      </c>
      <c r="C669" s="2" t="s">
        <v>17</v>
      </c>
      <c r="D669" s="6">
        <v>40000</v>
      </c>
      <c r="E669" s="2">
        <v>5</v>
      </c>
      <c r="F669" s="2" t="s">
        <v>33</v>
      </c>
      <c r="G669" s="2" t="s">
        <v>25</v>
      </c>
      <c r="H669" s="2" t="s">
        <v>26</v>
      </c>
      <c r="I669" s="2">
        <v>2</v>
      </c>
      <c r="J669" s="4" t="s">
        <v>36</v>
      </c>
      <c r="K669" s="2" t="s">
        <v>38</v>
      </c>
      <c r="L669" s="2">
        <v>61</v>
      </c>
      <c r="M669" t="str" cm="1">
        <f t="array" ref="M669">_xlfn.IFS(L669&lt;=35,"YOUNG_ADULTS",L669&lt;=55,"MIDDLE_AGED",L669&gt;55,"OLD-AGED")</f>
        <v>OLD-AGED</v>
      </c>
      <c r="O669" t="str" cm="1">
        <f t="array" ref="O669">_xlfn.IFS(D669&lt;=50000,"low income",D669&lt;=100000,"Mid income",D669&gt;100000,"High income")</f>
        <v>low income</v>
      </c>
      <c r="P669" t="str" cm="1">
        <f t="array" ref="P669">_xlfn.IFS(E669&lt;=2,"&lt;=2",E669&gt;2,"&gt;2")</f>
        <v>&gt;2</v>
      </c>
    </row>
    <row r="670" spans="1:16">
      <c r="A670" s="2">
        <v>14592</v>
      </c>
      <c r="B670" s="2" t="s">
        <v>16</v>
      </c>
      <c r="C670" s="2" t="s">
        <v>17</v>
      </c>
      <c r="D670" s="6">
        <v>60000</v>
      </c>
      <c r="E670" s="2">
        <v>0</v>
      </c>
      <c r="F670" s="2" t="s">
        <v>37</v>
      </c>
      <c r="G670" s="2" t="s">
        <v>25</v>
      </c>
      <c r="H670" s="2" t="s">
        <v>20</v>
      </c>
      <c r="I670" s="2">
        <v>0</v>
      </c>
      <c r="J670" s="4" t="s">
        <v>21</v>
      </c>
      <c r="K670" s="2" t="s">
        <v>38</v>
      </c>
      <c r="L670" s="2">
        <v>40</v>
      </c>
      <c r="M670" t="str" cm="1">
        <f t="array" ref="M670">_xlfn.IFS(L670&lt;=35,"YOUNG_ADULTS",L670&lt;=55,"MIDDLE_AGED",L670&gt;55,"OLD-AGED")</f>
        <v>MIDDLE_AGED</v>
      </c>
      <c r="O670" t="str" cm="1">
        <f t="array" ref="O670">_xlfn.IFS(D670&lt;=50000,"low income",D670&lt;=100000,"Mid income",D670&gt;100000,"High income")</f>
        <v>Mid income</v>
      </c>
      <c r="P670" t="str" cm="1">
        <f t="array" ref="P670">_xlfn.IFS(E670&lt;=2,"&lt;=2",E670&gt;2,"&gt;2")</f>
        <v>&lt;=2</v>
      </c>
    </row>
    <row r="671" spans="1:16">
      <c r="A671" s="2">
        <v>22227</v>
      </c>
      <c r="B671" s="2" t="s">
        <v>16</v>
      </c>
      <c r="C671" s="2" t="s">
        <v>17</v>
      </c>
      <c r="D671" s="6">
        <v>60000</v>
      </c>
      <c r="E671" s="2">
        <v>2</v>
      </c>
      <c r="F671" s="2" t="s">
        <v>33</v>
      </c>
      <c r="G671" s="2" t="s">
        <v>25</v>
      </c>
      <c r="H671" s="2" t="s">
        <v>20</v>
      </c>
      <c r="I671" s="2">
        <v>2</v>
      </c>
      <c r="J671" s="4" t="s">
        <v>29</v>
      </c>
      <c r="K671" s="2" t="s">
        <v>38</v>
      </c>
      <c r="L671" s="2">
        <v>50</v>
      </c>
      <c r="M671" t="str" cm="1">
        <f t="array" ref="M671">_xlfn.IFS(L671&lt;=35,"YOUNG_ADULTS",L671&lt;=55,"MIDDLE_AGED",L671&gt;55,"OLD-AGED")</f>
        <v>MIDDLE_AGED</v>
      </c>
      <c r="O671" t="str" cm="1">
        <f t="array" ref="O671">_xlfn.IFS(D671&lt;=50000,"low income",D671&lt;=100000,"Mid income",D671&gt;100000,"High income")</f>
        <v>Mid income</v>
      </c>
      <c r="P671" t="str" cm="1">
        <f t="array" ref="P671">_xlfn.IFS(E671&lt;=2,"&lt;=2",E671&gt;2,"&gt;2")</f>
        <v>&lt;=2</v>
      </c>
    </row>
    <row r="672" spans="1:16">
      <c r="A672" s="2">
        <v>21471</v>
      </c>
      <c r="B672" s="2" t="s">
        <v>16</v>
      </c>
      <c r="C672" s="2" t="s">
        <v>16</v>
      </c>
      <c r="D672" s="6">
        <v>70000</v>
      </c>
      <c r="E672" s="2">
        <v>2</v>
      </c>
      <c r="F672" s="2" t="s">
        <v>23</v>
      </c>
      <c r="G672" s="2" t="s">
        <v>25</v>
      </c>
      <c r="H672" s="2" t="s">
        <v>20</v>
      </c>
      <c r="I672" s="2">
        <v>1</v>
      </c>
      <c r="J672" s="4" t="s">
        <v>36</v>
      </c>
      <c r="K672" s="2" t="s">
        <v>38</v>
      </c>
      <c r="L672" s="2">
        <v>59</v>
      </c>
      <c r="M672" t="str" cm="1">
        <f t="array" ref="M672">_xlfn.IFS(L672&lt;=35,"YOUNG_ADULTS",L672&lt;=55,"MIDDLE_AGED",L672&gt;55,"OLD-AGED")</f>
        <v>OLD-AGED</v>
      </c>
      <c r="O672" t="str" cm="1">
        <f t="array" ref="O672">_xlfn.IFS(D672&lt;=50000,"low income",D672&lt;=100000,"Mid income",D672&gt;100000,"High income")</f>
        <v>Mid income</v>
      </c>
      <c r="P672" t="str" cm="1">
        <f t="array" ref="P672">_xlfn.IFS(E672&lt;=2,"&lt;=2",E672&gt;2,"&gt;2")</f>
        <v>&lt;=2</v>
      </c>
    </row>
    <row r="673" spans="1:16">
      <c r="A673" s="2">
        <v>22252</v>
      </c>
      <c r="B673" s="2" t="s">
        <v>28</v>
      </c>
      <c r="C673" s="2" t="s">
        <v>17</v>
      </c>
      <c r="D673" s="6">
        <v>60000</v>
      </c>
      <c r="E673" s="2">
        <v>1</v>
      </c>
      <c r="F673" s="2" t="s">
        <v>37</v>
      </c>
      <c r="G673" s="2" t="s">
        <v>25</v>
      </c>
      <c r="H673" s="2" t="s">
        <v>20</v>
      </c>
      <c r="I673" s="2">
        <v>0</v>
      </c>
      <c r="J673" s="4" t="s">
        <v>27</v>
      </c>
      <c r="K673" s="2" t="s">
        <v>38</v>
      </c>
      <c r="L673" s="2">
        <v>36</v>
      </c>
      <c r="M673" t="str" cm="1">
        <f t="array" ref="M673">_xlfn.IFS(L673&lt;=35,"YOUNG_ADULTS",L673&lt;=55,"MIDDLE_AGED",L673&gt;55,"OLD-AGED")</f>
        <v>MIDDLE_AGED</v>
      </c>
      <c r="N673" s="2" t="s">
        <v>20</v>
      </c>
      <c r="O673" t="str" cm="1">
        <f t="array" ref="O673">_xlfn.IFS(D673&lt;=50000,"low income",D673&lt;=100000,"Mid income",D673&gt;100000,"High income")</f>
        <v>Mid income</v>
      </c>
      <c r="P673" t="str" cm="1">
        <f t="array" ref="P673">_xlfn.IFS(E673&lt;=2,"&lt;=2",E673&gt;2,"&gt;2")</f>
        <v>&lt;=2</v>
      </c>
    </row>
    <row r="674" spans="1:16">
      <c r="A674" s="2">
        <v>21260</v>
      </c>
      <c r="B674" s="2" t="s">
        <v>28</v>
      </c>
      <c r="C674" s="2" t="s">
        <v>17</v>
      </c>
      <c r="D674" s="6">
        <v>40000</v>
      </c>
      <c r="E674" s="2">
        <v>0</v>
      </c>
      <c r="F674" s="2" t="s">
        <v>33</v>
      </c>
      <c r="G674" s="2" t="s">
        <v>19</v>
      </c>
      <c r="H674" s="2" t="s">
        <v>20</v>
      </c>
      <c r="I674" s="2">
        <v>2</v>
      </c>
      <c r="J674" s="4" t="s">
        <v>29</v>
      </c>
      <c r="K674" s="2" t="s">
        <v>38</v>
      </c>
      <c r="L674" s="2">
        <v>30</v>
      </c>
      <c r="M674" t="str" cm="1">
        <f t="array" ref="M674">_xlfn.IFS(L674&lt;=35,"YOUNG_ADULTS",L674&lt;=55,"MIDDLE_AGED",L674&gt;55,"OLD-AGED")</f>
        <v>YOUNG_ADULTS</v>
      </c>
      <c r="O674" t="str" cm="1">
        <f t="array" ref="O674">_xlfn.IFS(D674&lt;=50000,"low income",D674&lt;=100000,"Mid income",D674&gt;100000,"High income")</f>
        <v>low income</v>
      </c>
      <c r="P674" t="str" cm="1">
        <f t="array" ref="P674">_xlfn.IFS(E674&lt;=2,"&lt;=2",E674&gt;2,"&gt;2")</f>
        <v>&lt;=2</v>
      </c>
    </row>
    <row r="675" spans="1:16">
      <c r="A675" s="2">
        <v>11817</v>
      </c>
      <c r="B675" s="2" t="s">
        <v>28</v>
      </c>
      <c r="C675" s="2" t="s">
        <v>17</v>
      </c>
      <c r="D675" s="6">
        <v>70000</v>
      </c>
      <c r="E675" s="2">
        <v>4</v>
      </c>
      <c r="F675" s="2" t="s">
        <v>37</v>
      </c>
      <c r="G675" s="2" t="s">
        <v>25</v>
      </c>
      <c r="H675" s="2" t="s">
        <v>20</v>
      </c>
      <c r="I675" s="2">
        <v>0</v>
      </c>
      <c r="J675" s="4" t="s">
        <v>27</v>
      </c>
      <c r="K675" s="2" t="s">
        <v>38</v>
      </c>
      <c r="L675" s="2">
        <v>35</v>
      </c>
      <c r="M675" t="str" cm="1">
        <f t="array" ref="M675">_xlfn.IFS(L675&lt;=35,"YOUNG_ADULTS",L675&lt;=55,"MIDDLE_AGED",L675&gt;55,"OLD-AGED")</f>
        <v>YOUNG_ADULTS</v>
      </c>
      <c r="N675" s="2" t="s">
        <v>20</v>
      </c>
      <c r="O675" t="str" cm="1">
        <f t="array" ref="O675">_xlfn.IFS(D675&lt;=50000,"low income",D675&lt;=100000,"Mid income",D675&gt;100000,"High income")</f>
        <v>Mid income</v>
      </c>
      <c r="P675" t="str" cm="1">
        <f t="array" ref="P675">_xlfn.IFS(E675&lt;=2,"&lt;=2",E675&gt;2,"&gt;2")</f>
        <v>&gt;2</v>
      </c>
    </row>
    <row r="676" spans="1:16">
      <c r="A676" s="2">
        <v>19223</v>
      </c>
      <c r="B676" s="2" t="s">
        <v>16</v>
      </c>
      <c r="C676" s="2" t="s">
        <v>17</v>
      </c>
      <c r="D676" s="6">
        <v>30000</v>
      </c>
      <c r="E676" s="2">
        <v>2</v>
      </c>
      <c r="F676" s="2" t="s">
        <v>33</v>
      </c>
      <c r="G676" s="2" t="s">
        <v>19</v>
      </c>
      <c r="H676" s="2" t="s">
        <v>20</v>
      </c>
      <c r="I676" s="2">
        <v>2</v>
      </c>
      <c r="J676" s="4" t="s">
        <v>32</v>
      </c>
      <c r="K676" s="2" t="s">
        <v>38</v>
      </c>
      <c r="L676" s="2">
        <v>48</v>
      </c>
      <c r="M676" t="str" cm="1">
        <f t="array" ref="M676">_xlfn.IFS(L676&lt;=35,"YOUNG_ADULTS",L676&lt;=55,"MIDDLE_AGED",L676&gt;55,"OLD-AGED")</f>
        <v>MIDDLE_AGED</v>
      </c>
      <c r="O676" t="str" cm="1">
        <f t="array" ref="O676">_xlfn.IFS(D676&lt;=50000,"low income",D676&lt;=100000,"Mid income",D676&gt;100000,"High income")</f>
        <v>low income</v>
      </c>
      <c r="P676" t="str" cm="1">
        <f t="array" ref="P676">_xlfn.IFS(E676&lt;=2,"&lt;=2",E676&gt;2,"&gt;2")</f>
        <v>&lt;=2</v>
      </c>
    </row>
    <row r="677" spans="1:16">
      <c r="A677" s="2">
        <v>18517</v>
      </c>
      <c r="B677" s="2" t="s">
        <v>16</v>
      </c>
      <c r="C677" s="2" t="s">
        <v>16</v>
      </c>
      <c r="D677" s="6">
        <v>100000</v>
      </c>
      <c r="E677" s="2">
        <v>3</v>
      </c>
      <c r="F677" s="2" t="s">
        <v>18</v>
      </c>
      <c r="G677" s="2" t="s">
        <v>34</v>
      </c>
      <c r="H677" s="2" t="s">
        <v>20</v>
      </c>
      <c r="I677" s="2">
        <v>4</v>
      </c>
      <c r="J677" s="4" t="s">
        <v>21</v>
      </c>
      <c r="K677" s="2" t="s">
        <v>38</v>
      </c>
      <c r="L677" s="2">
        <v>41</v>
      </c>
      <c r="M677" t="str" cm="1">
        <f t="array" ref="M677">_xlfn.IFS(L677&lt;=35,"YOUNG_ADULTS",L677&lt;=55,"MIDDLE_AGED",L677&gt;55,"OLD-AGED")</f>
        <v>MIDDLE_AGED</v>
      </c>
      <c r="O677" t="str" cm="1">
        <f t="array" ref="O677">_xlfn.IFS(D677&lt;=50000,"low income",D677&lt;=100000,"Mid income",D677&gt;100000,"High income")</f>
        <v>Mid income</v>
      </c>
      <c r="P677" t="str" cm="1">
        <f t="array" ref="P677">_xlfn.IFS(E677&lt;=2,"&lt;=2",E677&gt;2,"&gt;2")</f>
        <v>&gt;2</v>
      </c>
    </row>
    <row r="678" spans="1:16">
      <c r="A678" s="2">
        <v>21717</v>
      </c>
      <c r="B678" s="2" t="s">
        <v>16</v>
      </c>
      <c r="C678" s="2" t="s">
        <v>16</v>
      </c>
      <c r="D678" s="6">
        <v>40000</v>
      </c>
      <c r="E678" s="2">
        <v>2</v>
      </c>
      <c r="F678" s="2" t="s">
        <v>23</v>
      </c>
      <c r="G678" s="2" t="s">
        <v>24</v>
      </c>
      <c r="H678" s="2" t="s">
        <v>20</v>
      </c>
      <c r="I678" s="2">
        <v>1</v>
      </c>
      <c r="J678" s="4" t="s">
        <v>21</v>
      </c>
      <c r="K678" s="2" t="s">
        <v>38</v>
      </c>
      <c r="L678" s="2">
        <v>47</v>
      </c>
      <c r="M678" t="str" cm="1">
        <f t="array" ref="M678">_xlfn.IFS(L678&lt;=35,"YOUNG_ADULTS",L678&lt;=55,"MIDDLE_AGED",L678&gt;55,"OLD-AGED")</f>
        <v>MIDDLE_AGED</v>
      </c>
      <c r="O678" t="str" cm="1">
        <f t="array" ref="O678">_xlfn.IFS(D678&lt;=50000,"low income",D678&lt;=100000,"Mid income",D678&gt;100000,"High income")</f>
        <v>low income</v>
      </c>
      <c r="P678" t="str" cm="1">
        <f t="array" ref="P678">_xlfn.IFS(E678&lt;=2,"&lt;=2",E678&gt;2,"&gt;2")</f>
        <v>&lt;=2</v>
      </c>
    </row>
    <row r="679" spans="1:16">
      <c r="A679" s="2">
        <v>13760</v>
      </c>
      <c r="B679" s="2" t="s">
        <v>16</v>
      </c>
      <c r="C679" s="2" t="s">
        <v>16</v>
      </c>
      <c r="D679" s="6">
        <v>60000</v>
      </c>
      <c r="E679" s="2">
        <v>4</v>
      </c>
      <c r="F679" s="2" t="s">
        <v>37</v>
      </c>
      <c r="G679" s="2" t="s">
        <v>19</v>
      </c>
      <c r="H679" s="2" t="s">
        <v>26</v>
      </c>
      <c r="I679" s="2">
        <v>0</v>
      </c>
      <c r="J679" s="4" t="s">
        <v>21</v>
      </c>
      <c r="K679" s="2" t="s">
        <v>38</v>
      </c>
      <c r="L679" s="2">
        <v>47</v>
      </c>
      <c r="M679" t="str" cm="1">
        <f t="array" ref="M679">_xlfn.IFS(L679&lt;=35,"YOUNG_ADULTS",L679&lt;=55,"MIDDLE_AGED",L679&gt;55,"OLD-AGED")</f>
        <v>MIDDLE_AGED</v>
      </c>
      <c r="O679" t="str" cm="1">
        <f t="array" ref="O679">_xlfn.IFS(D679&lt;=50000,"low income",D679&lt;=100000,"Mid income",D679&gt;100000,"High income")</f>
        <v>Mid income</v>
      </c>
      <c r="P679" t="str" cm="1">
        <f t="array" ref="P679">_xlfn.IFS(E679&lt;=2,"&lt;=2",E679&gt;2,"&gt;2")</f>
        <v>&gt;2</v>
      </c>
    </row>
    <row r="680" spans="1:16">
      <c r="A680" s="2">
        <v>18145</v>
      </c>
      <c r="B680" s="2" t="s">
        <v>16</v>
      </c>
      <c r="C680" s="2" t="s">
        <v>16</v>
      </c>
      <c r="D680" s="6">
        <v>80000</v>
      </c>
      <c r="E680" s="2">
        <v>5</v>
      </c>
      <c r="F680" s="2" t="s">
        <v>18</v>
      </c>
      <c r="G680" s="2" t="s">
        <v>34</v>
      </c>
      <c r="H680" s="2" t="s">
        <v>26</v>
      </c>
      <c r="I680" s="2">
        <v>2</v>
      </c>
      <c r="J680" s="4" t="s">
        <v>27</v>
      </c>
      <c r="K680" s="2" t="s">
        <v>22</v>
      </c>
      <c r="L680" s="2">
        <v>62</v>
      </c>
      <c r="M680" t="str" cm="1">
        <f t="array" ref="M680">_xlfn.IFS(L680&lt;=35,"YOUNG_ADULTS",L680&lt;=55,"MIDDLE_AGED",L680&gt;55,"OLD-AGED")</f>
        <v>OLD-AGED</v>
      </c>
      <c r="O680" t="str" cm="1">
        <f t="array" ref="O680">_xlfn.IFS(D680&lt;=50000,"low income",D680&lt;=100000,"Mid income",D680&gt;100000,"High income")</f>
        <v>Mid income</v>
      </c>
      <c r="P680" t="str" cm="1">
        <f t="array" ref="P680">_xlfn.IFS(E680&lt;=2,"&lt;=2",E680&gt;2,"&gt;2")</f>
        <v>&gt;2</v>
      </c>
    </row>
    <row r="681" spans="1:16">
      <c r="A681" s="2">
        <v>21770</v>
      </c>
      <c r="B681" s="2" t="s">
        <v>16</v>
      </c>
      <c r="C681" s="2" t="s">
        <v>16</v>
      </c>
      <c r="D681" s="6">
        <v>60000</v>
      </c>
      <c r="E681" s="2">
        <v>4</v>
      </c>
      <c r="F681" s="2" t="s">
        <v>18</v>
      </c>
      <c r="G681" s="2" t="s">
        <v>34</v>
      </c>
      <c r="H681" s="2" t="s">
        <v>20</v>
      </c>
      <c r="I681" s="2">
        <v>2</v>
      </c>
      <c r="J681" s="4" t="s">
        <v>36</v>
      </c>
      <c r="K681" s="2" t="s">
        <v>38</v>
      </c>
      <c r="L681" s="2">
        <v>60</v>
      </c>
      <c r="M681" t="str" cm="1">
        <f t="array" ref="M681">_xlfn.IFS(L681&lt;=35,"YOUNG_ADULTS",L681&lt;=55,"MIDDLE_AGED",L681&gt;55,"OLD-AGED")</f>
        <v>OLD-AGED</v>
      </c>
      <c r="O681" t="str" cm="1">
        <f t="array" ref="O681">_xlfn.IFS(D681&lt;=50000,"low income",D681&lt;=100000,"Mid income",D681&gt;100000,"High income")</f>
        <v>Mid income</v>
      </c>
      <c r="P681" t="str" cm="1">
        <f t="array" ref="P681">_xlfn.IFS(E681&lt;=2,"&lt;=2",E681&gt;2,"&gt;2")</f>
        <v>&gt;2</v>
      </c>
    </row>
    <row r="682" spans="1:16">
      <c r="A682" s="2">
        <v>11165</v>
      </c>
      <c r="B682" s="2" t="s">
        <v>16</v>
      </c>
      <c r="C682" s="2" t="s">
        <v>17</v>
      </c>
      <c r="D682" s="6">
        <v>60000</v>
      </c>
      <c r="E682" s="2">
        <v>0</v>
      </c>
      <c r="F682" s="2" t="s">
        <v>23</v>
      </c>
      <c r="G682" s="2" t="s">
        <v>19</v>
      </c>
      <c r="H682" s="2" t="s">
        <v>26</v>
      </c>
      <c r="I682" s="2">
        <v>1</v>
      </c>
      <c r="J682" s="4" t="s">
        <v>32</v>
      </c>
      <c r="K682" s="2" t="s">
        <v>38</v>
      </c>
      <c r="L682" s="2">
        <v>33</v>
      </c>
      <c r="M682" t="str" cm="1">
        <f t="array" ref="M682">_xlfn.IFS(L682&lt;=35,"YOUNG_ADULTS",L682&lt;=55,"MIDDLE_AGED",L682&gt;55,"OLD-AGED")</f>
        <v>YOUNG_ADULTS</v>
      </c>
      <c r="O682" t="str" cm="1">
        <f t="array" ref="O682">_xlfn.IFS(D682&lt;=50000,"low income",D682&lt;=100000,"Mid income",D682&gt;100000,"High income")</f>
        <v>Mid income</v>
      </c>
      <c r="P682" t="str" cm="1">
        <f t="array" ref="P682">_xlfn.IFS(E682&lt;=2,"&lt;=2",E682&gt;2,"&gt;2")</f>
        <v>&lt;=2</v>
      </c>
    </row>
    <row r="683" spans="1:16">
      <c r="A683" s="2">
        <v>16377</v>
      </c>
      <c r="B683" s="2" t="s">
        <v>28</v>
      </c>
      <c r="C683" s="2" t="s">
        <v>17</v>
      </c>
      <c r="D683" s="6">
        <v>80000</v>
      </c>
      <c r="E683" s="2">
        <v>4</v>
      </c>
      <c r="F683" s="2" t="s">
        <v>37</v>
      </c>
      <c r="G683" s="2" t="s">
        <v>19</v>
      </c>
      <c r="H683" s="2" t="s">
        <v>26</v>
      </c>
      <c r="I683" s="2">
        <v>0</v>
      </c>
      <c r="J683" s="4" t="s">
        <v>21</v>
      </c>
      <c r="K683" s="2" t="s">
        <v>38</v>
      </c>
      <c r="L683" s="2">
        <v>47</v>
      </c>
      <c r="M683" t="str" cm="1">
        <f t="array" ref="M683">_xlfn.IFS(L683&lt;=35,"YOUNG_ADULTS",L683&lt;=55,"MIDDLE_AGED",L683&gt;55,"OLD-AGED")</f>
        <v>MIDDLE_AGED</v>
      </c>
      <c r="O683" t="str" cm="1">
        <f t="array" ref="O683">_xlfn.IFS(D683&lt;=50000,"low income",D683&lt;=100000,"Mid income",D683&gt;100000,"High income")</f>
        <v>Mid income</v>
      </c>
      <c r="P683" t="str" cm="1">
        <f t="array" ref="P683">_xlfn.IFS(E683&lt;=2,"&lt;=2",E683&gt;2,"&gt;2")</f>
        <v>&gt;2</v>
      </c>
    </row>
    <row r="684" spans="1:16">
      <c r="A684" s="2">
        <v>26248</v>
      </c>
      <c r="B684" s="2" t="s">
        <v>16</v>
      </c>
      <c r="C684" s="2" t="s">
        <v>16</v>
      </c>
      <c r="D684" s="6">
        <v>20000</v>
      </c>
      <c r="E684" s="2">
        <v>3</v>
      </c>
      <c r="F684" s="2" t="s">
        <v>35</v>
      </c>
      <c r="G684" s="2" t="s">
        <v>24</v>
      </c>
      <c r="H684" s="2" t="s">
        <v>26</v>
      </c>
      <c r="I684" s="2">
        <v>2</v>
      </c>
      <c r="J684" s="4" t="s">
        <v>21</v>
      </c>
      <c r="K684" s="2" t="s">
        <v>38</v>
      </c>
      <c r="L684" s="2">
        <v>52</v>
      </c>
      <c r="M684" t="str" cm="1">
        <f t="array" ref="M684">_xlfn.IFS(L684&lt;=35,"YOUNG_ADULTS",L684&lt;=55,"MIDDLE_AGED",L684&gt;55,"OLD-AGED")</f>
        <v>MIDDLE_AGED</v>
      </c>
      <c r="O684" t="str" cm="1">
        <f t="array" ref="O684">_xlfn.IFS(D684&lt;=50000,"low income",D684&lt;=100000,"Mid income",D684&gt;100000,"High income")</f>
        <v>low income</v>
      </c>
      <c r="P684" t="str" cm="1">
        <f t="array" ref="P684">_xlfn.IFS(E684&lt;=2,"&lt;=2",E684&gt;2,"&gt;2")</f>
        <v>&gt;2</v>
      </c>
    </row>
    <row r="685" spans="1:16">
      <c r="A685" s="2">
        <v>23461</v>
      </c>
      <c r="B685" s="2" t="s">
        <v>16</v>
      </c>
      <c r="C685" s="2" t="s">
        <v>17</v>
      </c>
      <c r="D685" s="6">
        <v>90000</v>
      </c>
      <c r="E685" s="2">
        <v>5</v>
      </c>
      <c r="F685" s="2" t="s">
        <v>23</v>
      </c>
      <c r="G685" s="2" t="s">
        <v>25</v>
      </c>
      <c r="H685" s="2" t="s">
        <v>20</v>
      </c>
      <c r="I685" s="2">
        <v>3</v>
      </c>
      <c r="J685" s="4" t="s">
        <v>27</v>
      </c>
      <c r="K685" s="2" t="s">
        <v>38</v>
      </c>
      <c r="L685" s="2">
        <v>40</v>
      </c>
      <c r="M685" t="str" cm="1">
        <f t="array" ref="M685">_xlfn.IFS(L685&lt;=35,"YOUNG_ADULTS",L685&lt;=55,"MIDDLE_AGED",L685&gt;55,"OLD-AGED")</f>
        <v>MIDDLE_AGED</v>
      </c>
      <c r="O685" t="str" cm="1">
        <f t="array" ref="O685">_xlfn.IFS(D685&lt;=50000,"low income",D685&lt;=100000,"Mid income",D685&gt;100000,"High income")</f>
        <v>Mid income</v>
      </c>
      <c r="P685" t="str" cm="1">
        <f t="array" ref="P685">_xlfn.IFS(E685&lt;=2,"&lt;=2",E685&gt;2,"&gt;2")</f>
        <v>&gt;2</v>
      </c>
    </row>
    <row r="686" spans="1:16">
      <c r="A686" s="2">
        <v>29133</v>
      </c>
      <c r="B686" s="2" t="s">
        <v>28</v>
      </c>
      <c r="C686" s="2" t="s">
        <v>17</v>
      </c>
      <c r="D686" s="6">
        <v>60000</v>
      </c>
      <c r="E686" s="2">
        <v>4</v>
      </c>
      <c r="F686" s="2" t="s">
        <v>18</v>
      </c>
      <c r="G686" s="2" t="s">
        <v>19</v>
      </c>
      <c r="H686" s="2" t="s">
        <v>26</v>
      </c>
      <c r="I686" s="2">
        <v>2</v>
      </c>
      <c r="J686" s="4" t="s">
        <v>21</v>
      </c>
      <c r="K686" s="2" t="s">
        <v>38</v>
      </c>
      <c r="L686" s="2">
        <v>42</v>
      </c>
      <c r="M686" t="str" cm="1">
        <f t="array" ref="M686">_xlfn.IFS(L686&lt;=35,"YOUNG_ADULTS",L686&lt;=55,"MIDDLE_AGED",L686&gt;55,"OLD-AGED")</f>
        <v>MIDDLE_AGED</v>
      </c>
      <c r="O686" t="str" cm="1">
        <f t="array" ref="O686">_xlfn.IFS(D686&lt;=50000,"low income",D686&lt;=100000,"Mid income",D686&gt;100000,"High income")</f>
        <v>Mid income</v>
      </c>
      <c r="P686" t="str" cm="1">
        <f t="array" ref="P686">_xlfn.IFS(E686&lt;=2,"&lt;=2",E686&gt;2,"&gt;2")</f>
        <v>&gt;2</v>
      </c>
    </row>
    <row r="687" spans="1:16">
      <c r="A687" s="2">
        <v>27673</v>
      </c>
      <c r="B687" s="2" t="s">
        <v>28</v>
      </c>
      <c r="C687" s="2" t="s">
        <v>17</v>
      </c>
      <c r="D687" s="6">
        <v>60000</v>
      </c>
      <c r="E687" s="2">
        <v>3</v>
      </c>
      <c r="F687" s="2" t="s">
        <v>37</v>
      </c>
      <c r="G687" s="2" t="s">
        <v>34</v>
      </c>
      <c r="H687" s="2" t="s">
        <v>20</v>
      </c>
      <c r="I687" s="2">
        <v>2</v>
      </c>
      <c r="J687" s="4" t="s">
        <v>29</v>
      </c>
      <c r="K687" s="2" t="s">
        <v>38</v>
      </c>
      <c r="L687" s="2">
        <v>53</v>
      </c>
      <c r="M687" t="str" cm="1">
        <f t="array" ref="M687">_xlfn.IFS(L687&lt;=35,"YOUNG_ADULTS",L687&lt;=55,"MIDDLE_AGED",L687&gt;55,"OLD-AGED")</f>
        <v>MIDDLE_AGED</v>
      </c>
      <c r="N687" s="2" t="s">
        <v>20</v>
      </c>
      <c r="O687" t="str" cm="1">
        <f t="array" ref="O687">_xlfn.IFS(D687&lt;=50000,"low income",D687&lt;=100000,"Mid income",D687&gt;100000,"High income")</f>
        <v>Mid income</v>
      </c>
      <c r="P687" t="str" cm="1">
        <f t="array" ref="P687">_xlfn.IFS(E687&lt;=2,"&lt;=2",E687&gt;2,"&gt;2")</f>
        <v>&gt;2</v>
      </c>
    </row>
    <row r="688" spans="1:16">
      <c r="A688" s="2">
        <v>12774</v>
      </c>
      <c r="B688" s="2" t="s">
        <v>16</v>
      </c>
      <c r="C688" s="2" t="s">
        <v>17</v>
      </c>
      <c r="D688" s="6">
        <v>40000</v>
      </c>
      <c r="E688" s="2">
        <v>1</v>
      </c>
      <c r="F688" s="2" t="s">
        <v>23</v>
      </c>
      <c r="G688" s="2" t="s">
        <v>24</v>
      </c>
      <c r="H688" s="2" t="s">
        <v>20</v>
      </c>
      <c r="I688" s="2">
        <v>1</v>
      </c>
      <c r="J688" s="4" t="s">
        <v>32</v>
      </c>
      <c r="K688" s="2" t="s">
        <v>38</v>
      </c>
      <c r="L688" s="2">
        <v>51</v>
      </c>
      <c r="M688" t="str" cm="1">
        <f t="array" ref="M688">_xlfn.IFS(L688&lt;=35,"YOUNG_ADULTS",L688&lt;=55,"MIDDLE_AGED",L688&gt;55,"OLD-AGED")</f>
        <v>MIDDLE_AGED</v>
      </c>
      <c r="N688" s="2" t="s">
        <v>20</v>
      </c>
      <c r="O688" t="str" cm="1">
        <f t="array" ref="O688">_xlfn.IFS(D688&lt;=50000,"low income",D688&lt;=100000,"Mid income",D688&gt;100000,"High income")</f>
        <v>low income</v>
      </c>
      <c r="P688" t="str" cm="1">
        <f t="array" ref="P688">_xlfn.IFS(E688&lt;=2,"&lt;=2",E688&gt;2,"&gt;2")</f>
        <v>&lt;=2</v>
      </c>
    </row>
    <row r="689" spans="1:16">
      <c r="A689" s="2">
        <v>18910</v>
      </c>
      <c r="B689" s="2" t="s">
        <v>28</v>
      </c>
      <c r="C689" s="2" t="s">
        <v>16</v>
      </c>
      <c r="D689" s="6">
        <v>30000</v>
      </c>
      <c r="E689" s="2">
        <v>0</v>
      </c>
      <c r="F689" s="2" t="s">
        <v>23</v>
      </c>
      <c r="G689" s="2" t="s">
        <v>19</v>
      </c>
      <c r="H689" s="2" t="s">
        <v>20</v>
      </c>
      <c r="I689" s="2">
        <v>2</v>
      </c>
      <c r="J689" s="4" t="s">
        <v>29</v>
      </c>
      <c r="K689" s="2" t="s">
        <v>38</v>
      </c>
      <c r="L689" s="2">
        <v>30</v>
      </c>
      <c r="M689" t="str" cm="1">
        <f t="array" ref="M689">_xlfn.IFS(L689&lt;=35,"YOUNG_ADULTS",L689&lt;=55,"MIDDLE_AGED",L689&gt;55,"OLD-AGED")</f>
        <v>YOUNG_ADULTS</v>
      </c>
      <c r="O689" t="str" cm="1">
        <f t="array" ref="O689">_xlfn.IFS(D689&lt;=50000,"low income",D689&lt;=100000,"Mid income",D689&gt;100000,"High income")</f>
        <v>low income</v>
      </c>
      <c r="P689" t="str" cm="1">
        <f t="array" ref="P689">_xlfn.IFS(E689&lt;=2,"&lt;=2",E689&gt;2,"&gt;2")</f>
        <v>&lt;=2</v>
      </c>
    </row>
    <row r="690" spans="1:16">
      <c r="A690" s="2">
        <v>11699</v>
      </c>
      <c r="B690" s="2" t="s">
        <v>28</v>
      </c>
      <c r="C690" s="2" t="s">
        <v>16</v>
      </c>
      <c r="D690" s="6">
        <v>60000</v>
      </c>
      <c r="E690" s="2">
        <v>0</v>
      </c>
      <c r="F690" s="2" t="s">
        <v>18</v>
      </c>
      <c r="G690" s="2" t="s">
        <v>19</v>
      </c>
      <c r="H690" s="2" t="s">
        <v>26</v>
      </c>
      <c r="I690" s="2">
        <v>2</v>
      </c>
      <c r="J690" s="4" t="s">
        <v>21</v>
      </c>
      <c r="K690" s="2" t="s">
        <v>38</v>
      </c>
      <c r="L690" s="2">
        <v>30</v>
      </c>
      <c r="M690" t="str" cm="1">
        <f t="array" ref="M690">_xlfn.IFS(L690&lt;=35,"YOUNG_ADULTS",L690&lt;=55,"MIDDLE_AGED",L690&gt;55,"OLD-AGED")</f>
        <v>YOUNG_ADULTS</v>
      </c>
      <c r="O690" t="str" cm="1">
        <f t="array" ref="O690">_xlfn.IFS(D690&lt;=50000,"low income",D690&lt;=100000,"Mid income",D690&gt;100000,"High income")</f>
        <v>Mid income</v>
      </c>
      <c r="P690" t="str" cm="1">
        <f t="array" ref="P690">_xlfn.IFS(E690&lt;=2,"&lt;=2",E690&gt;2,"&gt;2")</f>
        <v>&lt;=2</v>
      </c>
    </row>
    <row r="691" spans="1:16">
      <c r="A691" s="2">
        <v>16725</v>
      </c>
      <c r="B691" s="2" t="s">
        <v>16</v>
      </c>
      <c r="C691" s="2" t="s">
        <v>16</v>
      </c>
      <c r="D691" s="6">
        <v>30000</v>
      </c>
      <c r="E691" s="2">
        <v>0</v>
      </c>
      <c r="F691" s="2" t="s">
        <v>33</v>
      </c>
      <c r="G691" s="2" t="s">
        <v>19</v>
      </c>
      <c r="H691" s="2" t="s">
        <v>20</v>
      </c>
      <c r="I691" s="2">
        <v>2</v>
      </c>
      <c r="J691" s="4" t="s">
        <v>29</v>
      </c>
      <c r="K691" s="2" t="s">
        <v>38</v>
      </c>
      <c r="L691" s="2">
        <v>26</v>
      </c>
      <c r="M691" t="str" cm="1">
        <f t="array" ref="M691">_xlfn.IFS(L691&lt;=35,"YOUNG_ADULTS",L691&lt;=55,"MIDDLE_AGED",L691&gt;55,"OLD-AGED")</f>
        <v>YOUNG_ADULTS</v>
      </c>
      <c r="O691" t="str" cm="1">
        <f t="array" ref="O691">_xlfn.IFS(D691&lt;=50000,"low income",D691&lt;=100000,"Mid income",D691&gt;100000,"High income")</f>
        <v>low income</v>
      </c>
      <c r="P691" t="str" cm="1">
        <f t="array" ref="P691">_xlfn.IFS(E691&lt;=2,"&lt;=2",E691&gt;2,"&gt;2")</f>
        <v>&lt;=2</v>
      </c>
    </row>
    <row r="692" spans="1:16">
      <c r="A692" s="2">
        <v>28269</v>
      </c>
      <c r="B692" s="2" t="s">
        <v>28</v>
      </c>
      <c r="C692" s="2" t="s">
        <v>17</v>
      </c>
      <c r="D692" s="6">
        <v>130000</v>
      </c>
      <c r="E692" s="2">
        <v>1</v>
      </c>
      <c r="F692" s="2" t="s">
        <v>18</v>
      </c>
      <c r="G692" s="2" t="s">
        <v>34</v>
      </c>
      <c r="H692" s="2" t="s">
        <v>26</v>
      </c>
      <c r="I692" s="2">
        <v>1</v>
      </c>
      <c r="J692" s="4" t="s">
        <v>27</v>
      </c>
      <c r="K692" s="2" t="s">
        <v>38</v>
      </c>
      <c r="L692" s="2">
        <v>45</v>
      </c>
      <c r="M692" t="str" cm="1">
        <f t="array" ref="M692">_xlfn.IFS(L692&lt;=35,"YOUNG_ADULTS",L692&lt;=55,"MIDDLE_AGED",L692&gt;55,"OLD-AGED")</f>
        <v>MIDDLE_AGED</v>
      </c>
      <c r="O692" t="str" cm="1">
        <f t="array" ref="O692">_xlfn.IFS(D692&lt;=50000,"low income",D692&lt;=100000,"Mid income",D692&gt;100000,"High income")</f>
        <v>High income</v>
      </c>
      <c r="P692" t="str" cm="1">
        <f t="array" ref="P692">_xlfn.IFS(E692&lt;=2,"&lt;=2",E692&gt;2,"&gt;2")</f>
        <v>&lt;=2</v>
      </c>
    </row>
    <row r="693" spans="1:16">
      <c r="A693" s="2">
        <v>23144</v>
      </c>
      <c r="B693" s="2" t="s">
        <v>16</v>
      </c>
      <c r="C693" s="2" t="s">
        <v>16</v>
      </c>
      <c r="D693" s="6">
        <v>50000</v>
      </c>
      <c r="E693" s="2">
        <v>1</v>
      </c>
      <c r="F693" s="2" t="s">
        <v>18</v>
      </c>
      <c r="G693" s="2" t="s">
        <v>19</v>
      </c>
      <c r="H693" s="2" t="s">
        <v>20</v>
      </c>
      <c r="I693" s="2">
        <v>0</v>
      </c>
      <c r="J693" s="4" t="s">
        <v>21</v>
      </c>
      <c r="K693" s="2" t="s">
        <v>38</v>
      </c>
      <c r="L693" s="2">
        <v>34</v>
      </c>
      <c r="M693" t="str" cm="1">
        <f t="array" ref="M693">_xlfn.IFS(L693&lt;=35,"YOUNG_ADULTS",L693&lt;=55,"MIDDLE_AGED",L693&gt;55,"OLD-AGED")</f>
        <v>YOUNG_ADULTS</v>
      </c>
      <c r="N693" s="2" t="s">
        <v>20</v>
      </c>
      <c r="O693" t="str" cm="1">
        <f t="array" ref="O693">_xlfn.IFS(D693&lt;=50000,"low income",D693&lt;=100000,"Mid income",D693&gt;100000,"High income")</f>
        <v>low income</v>
      </c>
      <c r="P693" t="str" cm="1">
        <f t="array" ref="P693">_xlfn.IFS(E693&lt;=2,"&lt;=2",E693&gt;2,"&gt;2")</f>
        <v>&lt;=2</v>
      </c>
    </row>
    <row r="694" spans="1:16">
      <c r="A694" s="2">
        <v>23376</v>
      </c>
      <c r="B694" s="2" t="s">
        <v>16</v>
      </c>
      <c r="C694" s="2" t="s">
        <v>16</v>
      </c>
      <c r="D694" s="6">
        <v>70000</v>
      </c>
      <c r="E694" s="2">
        <v>1</v>
      </c>
      <c r="F694" s="2" t="s">
        <v>18</v>
      </c>
      <c r="G694" s="2" t="s">
        <v>25</v>
      </c>
      <c r="H694" s="2" t="s">
        <v>20</v>
      </c>
      <c r="I694" s="2">
        <v>1</v>
      </c>
      <c r="J694" s="4" t="s">
        <v>27</v>
      </c>
      <c r="K694" s="2" t="s">
        <v>38</v>
      </c>
      <c r="L694" s="2">
        <v>44</v>
      </c>
      <c r="M694" t="str" cm="1">
        <f t="array" ref="M694">_xlfn.IFS(L694&lt;=35,"YOUNG_ADULTS",L694&lt;=55,"MIDDLE_AGED",L694&gt;55,"OLD-AGED")</f>
        <v>MIDDLE_AGED</v>
      </c>
      <c r="N694" s="2" t="s">
        <v>20</v>
      </c>
      <c r="O694" t="str" cm="1">
        <f t="array" ref="O694">_xlfn.IFS(D694&lt;=50000,"low income",D694&lt;=100000,"Mid income",D694&gt;100000,"High income")</f>
        <v>Mid income</v>
      </c>
      <c r="P694" t="str" cm="1">
        <f t="array" ref="P694">_xlfn.IFS(E694&lt;=2,"&lt;=2",E694&gt;2,"&gt;2")</f>
        <v>&lt;=2</v>
      </c>
    </row>
    <row r="695" spans="1:16">
      <c r="A695" s="2">
        <v>25970</v>
      </c>
      <c r="B695" s="2" t="s">
        <v>28</v>
      </c>
      <c r="C695" s="2" t="s">
        <v>17</v>
      </c>
      <c r="D695" s="6">
        <v>60000</v>
      </c>
      <c r="E695" s="2">
        <v>4</v>
      </c>
      <c r="F695" s="2" t="s">
        <v>18</v>
      </c>
      <c r="G695" s="2" t="s">
        <v>19</v>
      </c>
      <c r="H695" s="2" t="s">
        <v>26</v>
      </c>
      <c r="I695" s="2">
        <v>2</v>
      </c>
      <c r="J695" s="4" t="s">
        <v>21</v>
      </c>
      <c r="K695" s="2" t="s">
        <v>38</v>
      </c>
      <c r="L695" s="2">
        <v>41</v>
      </c>
      <c r="M695" t="str" cm="1">
        <f t="array" ref="M695">_xlfn.IFS(L695&lt;=35,"YOUNG_ADULTS",L695&lt;=55,"MIDDLE_AGED",L695&gt;55,"OLD-AGED")</f>
        <v>MIDDLE_AGED</v>
      </c>
      <c r="N695" s="2" t="s">
        <v>20</v>
      </c>
      <c r="O695" t="str" cm="1">
        <f t="array" ref="O695">_xlfn.IFS(D695&lt;=50000,"low income",D695&lt;=100000,"Mid income",D695&gt;100000,"High income")</f>
        <v>Mid income</v>
      </c>
      <c r="P695" t="str" cm="1">
        <f t="array" ref="P695">_xlfn.IFS(E695&lt;=2,"&lt;=2",E695&gt;2,"&gt;2")</f>
        <v>&gt;2</v>
      </c>
    </row>
    <row r="696" spans="1:16">
      <c r="A696" s="2">
        <v>28068</v>
      </c>
      <c r="B696" s="2" t="s">
        <v>28</v>
      </c>
      <c r="C696" s="2" t="s">
        <v>17</v>
      </c>
      <c r="D696" s="6">
        <v>80000</v>
      </c>
      <c r="E696" s="2">
        <v>3</v>
      </c>
      <c r="F696" s="2" t="s">
        <v>37</v>
      </c>
      <c r="G696" s="2" t="s">
        <v>25</v>
      </c>
      <c r="H696" s="2" t="s">
        <v>26</v>
      </c>
      <c r="I696" s="2">
        <v>0</v>
      </c>
      <c r="J696" s="4" t="s">
        <v>21</v>
      </c>
      <c r="K696" s="2" t="s">
        <v>38</v>
      </c>
      <c r="L696" s="2">
        <v>36</v>
      </c>
      <c r="M696" t="str" cm="1">
        <f t="array" ref="M696">_xlfn.IFS(L696&lt;=35,"YOUNG_ADULTS",L696&lt;=55,"MIDDLE_AGED",L696&gt;55,"OLD-AGED")</f>
        <v>MIDDLE_AGED</v>
      </c>
      <c r="N696" s="2" t="s">
        <v>20</v>
      </c>
      <c r="O696" t="str" cm="1">
        <f t="array" ref="O696">_xlfn.IFS(D696&lt;=50000,"low income",D696&lt;=100000,"Mid income",D696&gt;100000,"High income")</f>
        <v>Mid income</v>
      </c>
      <c r="P696" t="str" cm="1">
        <f t="array" ref="P696">_xlfn.IFS(E696&lt;=2,"&lt;=2",E696&gt;2,"&gt;2")</f>
        <v>&gt;2</v>
      </c>
    </row>
    <row r="697" spans="1:16">
      <c r="A697" s="2">
        <v>18390</v>
      </c>
      <c r="B697" s="2" t="s">
        <v>16</v>
      </c>
      <c r="C697" s="2" t="s">
        <v>16</v>
      </c>
      <c r="D697" s="6">
        <v>80000</v>
      </c>
      <c r="E697" s="2">
        <v>5</v>
      </c>
      <c r="F697" s="2" t="s">
        <v>23</v>
      </c>
      <c r="G697" s="2" t="s">
        <v>25</v>
      </c>
      <c r="H697" s="2" t="s">
        <v>20</v>
      </c>
      <c r="I697" s="2">
        <v>2</v>
      </c>
      <c r="J697" s="4" t="s">
        <v>21</v>
      </c>
      <c r="K697" s="2" t="s">
        <v>38</v>
      </c>
      <c r="L697" s="2">
        <v>44</v>
      </c>
      <c r="M697" t="str" cm="1">
        <f t="array" ref="M697">_xlfn.IFS(L697&lt;=35,"YOUNG_ADULTS",L697&lt;=55,"MIDDLE_AGED",L697&gt;55,"OLD-AGED")</f>
        <v>MIDDLE_AGED</v>
      </c>
      <c r="O697" t="str" cm="1">
        <f t="array" ref="O697">_xlfn.IFS(D697&lt;=50000,"low income",D697&lt;=100000,"Mid income",D697&gt;100000,"High income")</f>
        <v>Mid income</v>
      </c>
      <c r="P697" t="str" cm="1">
        <f t="array" ref="P697">_xlfn.IFS(E697&lt;=2,"&lt;=2",E697&gt;2,"&gt;2")</f>
        <v>&gt;2</v>
      </c>
    </row>
    <row r="698" spans="1:16">
      <c r="A698" s="2">
        <v>29112</v>
      </c>
      <c r="B698" s="2" t="s">
        <v>28</v>
      </c>
      <c r="C698" s="2" t="s">
        <v>16</v>
      </c>
      <c r="D698" s="6">
        <v>60000</v>
      </c>
      <c r="E698" s="2">
        <v>0</v>
      </c>
      <c r="F698" s="2" t="s">
        <v>23</v>
      </c>
      <c r="G698" s="2" t="s">
        <v>25</v>
      </c>
      <c r="H698" s="2" t="s">
        <v>26</v>
      </c>
      <c r="I698" s="2">
        <v>2</v>
      </c>
      <c r="J698" s="4" t="s">
        <v>32</v>
      </c>
      <c r="K698" s="2" t="s">
        <v>38</v>
      </c>
      <c r="L698" s="2">
        <v>30</v>
      </c>
      <c r="M698" t="str" cm="1">
        <f t="array" ref="M698">_xlfn.IFS(L698&lt;=35,"YOUNG_ADULTS",L698&lt;=55,"MIDDLE_AGED",L698&gt;55,"OLD-AGED")</f>
        <v>YOUNG_ADULTS</v>
      </c>
      <c r="O698" t="str" cm="1">
        <f t="array" ref="O698">_xlfn.IFS(D698&lt;=50000,"low income",D698&lt;=100000,"Mid income",D698&gt;100000,"High income")</f>
        <v>Mid income</v>
      </c>
      <c r="P698" t="str" cm="1">
        <f t="array" ref="P698">_xlfn.IFS(E698&lt;=2,"&lt;=2",E698&gt;2,"&gt;2")</f>
        <v>&lt;=2</v>
      </c>
    </row>
    <row r="699" spans="1:16">
      <c r="A699" s="2">
        <v>14090</v>
      </c>
      <c r="B699" s="2" t="s">
        <v>16</v>
      </c>
      <c r="C699" s="2" t="s">
        <v>17</v>
      </c>
      <c r="D699" s="6">
        <v>30000</v>
      </c>
      <c r="E699" s="2">
        <v>0</v>
      </c>
      <c r="F699" s="2" t="s">
        <v>35</v>
      </c>
      <c r="G699" s="2" t="s">
        <v>24</v>
      </c>
      <c r="H699" s="2" t="s">
        <v>26</v>
      </c>
      <c r="I699" s="2">
        <v>2</v>
      </c>
      <c r="J699" s="4" t="s">
        <v>21</v>
      </c>
      <c r="K699" s="2" t="s">
        <v>38</v>
      </c>
      <c r="L699" s="2">
        <v>28</v>
      </c>
      <c r="M699" t="str" cm="1">
        <f t="array" ref="M699">_xlfn.IFS(L699&lt;=35,"YOUNG_ADULTS",L699&lt;=55,"MIDDLE_AGED",L699&gt;55,"OLD-AGED")</f>
        <v>YOUNG_ADULTS</v>
      </c>
      <c r="O699" t="str" cm="1">
        <f t="array" ref="O699">_xlfn.IFS(D699&lt;=50000,"low income",D699&lt;=100000,"Mid income",D699&gt;100000,"High income")</f>
        <v>low income</v>
      </c>
      <c r="P699" t="str" cm="1">
        <f t="array" ref="P699">_xlfn.IFS(E699&lt;=2,"&lt;=2",E699&gt;2,"&gt;2")</f>
        <v>&lt;=2</v>
      </c>
    </row>
    <row r="700" spans="1:16">
      <c r="A700" s="2">
        <v>27040</v>
      </c>
      <c r="B700" s="2" t="s">
        <v>16</v>
      </c>
      <c r="C700" s="2" t="s">
        <v>16</v>
      </c>
      <c r="D700" s="6">
        <v>20000</v>
      </c>
      <c r="E700" s="2">
        <v>2</v>
      </c>
      <c r="F700" s="2" t="s">
        <v>35</v>
      </c>
      <c r="G700" s="2" t="s">
        <v>24</v>
      </c>
      <c r="H700" s="2" t="s">
        <v>20</v>
      </c>
      <c r="I700" s="2">
        <v>2</v>
      </c>
      <c r="J700" s="4" t="s">
        <v>32</v>
      </c>
      <c r="K700" s="2" t="s">
        <v>38</v>
      </c>
      <c r="L700" s="2">
        <v>49</v>
      </c>
      <c r="M700" t="str" cm="1">
        <f t="array" ref="M700">_xlfn.IFS(L700&lt;=35,"YOUNG_ADULTS",L700&lt;=55,"MIDDLE_AGED",L700&gt;55,"OLD-AGED")</f>
        <v>MIDDLE_AGED</v>
      </c>
      <c r="O700" t="str" cm="1">
        <f t="array" ref="O700">_xlfn.IFS(D700&lt;=50000,"low income",D700&lt;=100000,"Mid income",D700&gt;100000,"High income")</f>
        <v>low income</v>
      </c>
      <c r="P700" t="str" cm="1">
        <f t="array" ref="P700">_xlfn.IFS(E700&lt;=2,"&lt;=2",E700&gt;2,"&gt;2")</f>
        <v>&lt;=2</v>
      </c>
    </row>
    <row r="701" spans="1:16">
      <c r="A701" s="2">
        <v>23479</v>
      </c>
      <c r="B701" s="2" t="s">
        <v>28</v>
      </c>
      <c r="C701" s="2" t="s">
        <v>16</v>
      </c>
      <c r="D701" s="6">
        <v>90000</v>
      </c>
      <c r="E701" s="2">
        <v>0</v>
      </c>
      <c r="F701" s="2" t="s">
        <v>23</v>
      </c>
      <c r="G701" s="2" t="s">
        <v>25</v>
      </c>
      <c r="H701" s="2" t="s">
        <v>26</v>
      </c>
      <c r="I701" s="2">
        <v>2</v>
      </c>
      <c r="J701" s="4" t="s">
        <v>21</v>
      </c>
      <c r="K701" s="2" t="s">
        <v>38</v>
      </c>
      <c r="L701" s="2">
        <v>43</v>
      </c>
      <c r="M701" t="str" cm="1">
        <f t="array" ref="M701">_xlfn.IFS(L701&lt;=35,"YOUNG_ADULTS",L701&lt;=55,"MIDDLE_AGED",L701&gt;55,"OLD-AGED")</f>
        <v>MIDDLE_AGED</v>
      </c>
      <c r="N701" s="2" t="s">
        <v>20</v>
      </c>
      <c r="O701" t="str" cm="1">
        <f t="array" ref="O701">_xlfn.IFS(D701&lt;=50000,"low income",D701&lt;=100000,"Mid income",D701&gt;100000,"High income")</f>
        <v>Mid income</v>
      </c>
      <c r="P701" t="str" cm="1">
        <f t="array" ref="P701">_xlfn.IFS(E701&lt;=2,"&lt;=2",E701&gt;2,"&gt;2")</f>
        <v>&lt;=2</v>
      </c>
    </row>
    <row r="702" spans="1:16">
      <c r="A702" s="2">
        <v>16795</v>
      </c>
      <c r="B702" s="2" t="s">
        <v>16</v>
      </c>
      <c r="C702" s="2" t="s">
        <v>17</v>
      </c>
      <c r="D702" s="6">
        <v>70000</v>
      </c>
      <c r="E702" s="2">
        <v>4</v>
      </c>
      <c r="F702" s="2" t="s">
        <v>18</v>
      </c>
      <c r="G702" s="2" t="s">
        <v>34</v>
      </c>
      <c r="H702" s="2" t="s">
        <v>20</v>
      </c>
      <c r="I702" s="2">
        <v>1</v>
      </c>
      <c r="J702" s="4" t="s">
        <v>32</v>
      </c>
      <c r="K702" s="2" t="s">
        <v>38</v>
      </c>
      <c r="L702" s="2">
        <v>59</v>
      </c>
      <c r="M702" t="str" cm="1">
        <f t="array" ref="M702">_xlfn.IFS(L702&lt;=35,"YOUNG_ADULTS",L702&lt;=55,"MIDDLE_AGED",L702&gt;55,"OLD-AGED")</f>
        <v>OLD-AGED</v>
      </c>
      <c r="O702" t="str" cm="1">
        <f t="array" ref="O702">_xlfn.IFS(D702&lt;=50000,"low income",D702&lt;=100000,"Mid income",D702&gt;100000,"High income")</f>
        <v>Mid income</v>
      </c>
      <c r="P702" t="str" cm="1">
        <f t="array" ref="P702">_xlfn.IFS(E702&lt;=2,"&lt;=2",E702&gt;2,"&gt;2")</f>
        <v>&gt;2</v>
      </c>
    </row>
    <row r="703" spans="1:16">
      <c r="A703" s="2">
        <v>22014</v>
      </c>
      <c r="B703" s="2" t="s">
        <v>28</v>
      </c>
      <c r="C703" s="2" t="s">
        <v>16</v>
      </c>
      <c r="D703" s="6">
        <v>30000</v>
      </c>
      <c r="E703" s="2">
        <v>0</v>
      </c>
      <c r="F703" s="2" t="s">
        <v>33</v>
      </c>
      <c r="G703" s="2" t="s">
        <v>19</v>
      </c>
      <c r="H703" s="2" t="s">
        <v>20</v>
      </c>
      <c r="I703" s="2">
        <v>2</v>
      </c>
      <c r="J703" s="4" t="s">
        <v>29</v>
      </c>
      <c r="K703" s="2" t="s">
        <v>38</v>
      </c>
      <c r="L703" s="2">
        <v>26</v>
      </c>
      <c r="M703" t="str" cm="1">
        <f t="array" ref="M703">_xlfn.IFS(L703&lt;=35,"YOUNG_ADULTS",L703&lt;=55,"MIDDLE_AGED",L703&gt;55,"OLD-AGED")</f>
        <v>YOUNG_ADULTS</v>
      </c>
      <c r="O703" t="str" cm="1">
        <f t="array" ref="O703">_xlfn.IFS(D703&lt;=50000,"low income",D703&lt;=100000,"Mid income",D703&gt;100000,"High income")</f>
        <v>low income</v>
      </c>
      <c r="P703" t="str" cm="1">
        <f t="array" ref="P703">_xlfn.IFS(E703&lt;=2,"&lt;=2",E703&gt;2,"&gt;2")</f>
        <v>&lt;=2</v>
      </c>
    </row>
    <row r="704" spans="1:16">
      <c r="A704" s="2">
        <v>13314</v>
      </c>
      <c r="B704" s="2" t="s">
        <v>16</v>
      </c>
      <c r="C704" s="2" t="s">
        <v>16</v>
      </c>
      <c r="D704" s="6">
        <v>120000</v>
      </c>
      <c r="E704" s="2">
        <v>1</v>
      </c>
      <c r="F704" s="2" t="s">
        <v>33</v>
      </c>
      <c r="G704" s="2" t="s">
        <v>25</v>
      </c>
      <c r="H704" s="2" t="s">
        <v>20</v>
      </c>
      <c r="I704" s="2">
        <v>4</v>
      </c>
      <c r="J704" s="4" t="s">
        <v>29</v>
      </c>
      <c r="K704" s="2" t="s">
        <v>38</v>
      </c>
      <c r="L704" s="2">
        <v>46</v>
      </c>
      <c r="M704" t="str" cm="1">
        <f t="array" ref="M704">_xlfn.IFS(L704&lt;=35,"YOUNG_ADULTS",L704&lt;=55,"MIDDLE_AGED",L704&gt;55,"OLD-AGED")</f>
        <v>MIDDLE_AGED</v>
      </c>
      <c r="N704" s="2" t="s">
        <v>20</v>
      </c>
      <c r="O704" t="str" cm="1">
        <f t="array" ref="O704">_xlfn.IFS(D704&lt;=50000,"low income",D704&lt;=100000,"Mid income",D704&gt;100000,"High income")</f>
        <v>High income</v>
      </c>
      <c r="P704" t="str" cm="1">
        <f t="array" ref="P704">_xlfn.IFS(E704&lt;=2,"&lt;=2",E704&gt;2,"&gt;2")</f>
        <v>&lt;=2</v>
      </c>
    </row>
    <row r="705" spans="1:16">
      <c r="A705" s="2">
        <v>11619</v>
      </c>
      <c r="B705" s="2" t="s">
        <v>28</v>
      </c>
      <c r="C705" s="2" t="s">
        <v>17</v>
      </c>
      <c r="D705" s="6">
        <v>50000</v>
      </c>
      <c r="E705" s="2">
        <v>0</v>
      </c>
      <c r="F705" s="2" t="s">
        <v>37</v>
      </c>
      <c r="G705" s="2" t="s">
        <v>19</v>
      </c>
      <c r="H705" s="2" t="s">
        <v>20</v>
      </c>
      <c r="I705" s="2">
        <v>0</v>
      </c>
      <c r="J705" s="4" t="s">
        <v>32</v>
      </c>
      <c r="K705" s="2" t="s">
        <v>38</v>
      </c>
      <c r="L705" s="2">
        <v>33</v>
      </c>
      <c r="M705" t="str" cm="1">
        <f t="array" ref="M705">_xlfn.IFS(L705&lt;=35,"YOUNG_ADULTS",L705&lt;=55,"MIDDLE_AGED",L705&gt;55,"OLD-AGED")</f>
        <v>YOUNG_ADULTS</v>
      </c>
      <c r="O705" t="str" cm="1">
        <f t="array" ref="O705">_xlfn.IFS(D705&lt;=50000,"low income",D705&lt;=100000,"Mid income",D705&gt;100000,"High income")</f>
        <v>low income</v>
      </c>
      <c r="P705" t="str" cm="1">
        <f t="array" ref="P705">_xlfn.IFS(E705&lt;=2,"&lt;=2",E705&gt;2,"&gt;2")</f>
        <v>&lt;=2</v>
      </c>
    </row>
    <row r="706" spans="1:16">
      <c r="A706" s="2">
        <v>29132</v>
      </c>
      <c r="B706" s="2" t="s">
        <v>28</v>
      </c>
      <c r="C706" s="2" t="s">
        <v>17</v>
      </c>
      <c r="D706" s="6">
        <v>40000</v>
      </c>
      <c r="E706" s="2">
        <v>0</v>
      </c>
      <c r="F706" s="2" t="s">
        <v>18</v>
      </c>
      <c r="G706" s="2" t="s">
        <v>25</v>
      </c>
      <c r="H706" s="2" t="s">
        <v>20</v>
      </c>
      <c r="I706" s="2">
        <v>1</v>
      </c>
      <c r="J706" s="4" t="s">
        <v>27</v>
      </c>
      <c r="K706" s="2" t="s">
        <v>38</v>
      </c>
      <c r="L706" s="2">
        <v>42</v>
      </c>
      <c r="M706" t="str" cm="1">
        <f t="array" ref="M706">_xlfn.IFS(L706&lt;=35,"YOUNG_ADULTS",L706&lt;=55,"MIDDLE_AGED",L706&gt;55,"OLD-AGED")</f>
        <v>MIDDLE_AGED</v>
      </c>
      <c r="N706" s="2" t="s">
        <v>20</v>
      </c>
      <c r="O706" t="str" cm="1">
        <f t="array" ref="O706">_xlfn.IFS(D706&lt;=50000,"low income",D706&lt;=100000,"Mid income",D706&gt;100000,"High income")</f>
        <v>low income</v>
      </c>
      <c r="P706" t="str" cm="1">
        <f t="array" ref="P706">_xlfn.IFS(E706&lt;=2,"&lt;=2",E706&gt;2,"&gt;2")</f>
        <v>&lt;=2</v>
      </c>
    </row>
    <row r="707" spans="1:16">
      <c r="A707" s="2">
        <v>11199</v>
      </c>
      <c r="B707" s="2" t="s">
        <v>16</v>
      </c>
      <c r="C707" s="2" t="s">
        <v>17</v>
      </c>
      <c r="D707" s="6">
        <v>70000</v>
      </c>
      <c r="E707" s="2">
        <v>4</v>
      </c>
      <c r="F707" s="2" t="s">
        <v>18</v>
      </c>
      <c r="G707" s="2" t="s">
        <v>34</v>
      </c>
      <c r="H707" s="2" t="s">
        <v>20</v>
      </c>
      <c r="I707" s="2">
        <v>1</v>
      </c>
      <c r="J707" s="4" t="s">
        <v>36</v>
      </c>
      <c r="K707" s="2" t="s">
        <v>38</v>
      </c>
      <c r="L707" s="2">
        <v>59</v>
      </c>
      <c r="M707" t="str" cm="1">
        <f t="array" ref="M707">_xlfn.IFS(L707&lt;=35,"YOUNG_ADULTS",L707&lt;=55,"MIDDLE_AGED",L707&gt;55,"OLD-AGED")</f>
        <v>OLD-AGED</v>
      </c>
      <c r="O707" t="str" cm="1">
        <f t="array" ref="O707">_xlfn.IFS(D707&lt;=50000,"low income",D707&lt;=100000,"Mid income",D707&gt;100000,"High income")</f>
        <v>Mid income</v>
      </c>
      <c r="P707" t="str" cm="1">
        <f t="array" ref="P707">_xlfn.IFS(E707&lt;=2,"&lt;=2",E707&gt;2,"&gt;2")</f>
        <v>&gt;2</v>
      </c>
    </row>
    <row r="708" spans="1:16">
      <c r="A708" s="2">
        <v>20296</v>
      </c>
      <c r="B708" s="2" t="s">
        <v>28</v>
      </c>
      <c r="C708" s="2" t="s">
        <v>17</v>
      </c>
      <c r="D708" s="6">
        <v>60000</v>
      </c>
      <c r="E708" s="2">
        <v>0</v>
      </c>
      <c r="F708" s="2" t="s">
        <v>23</v>
      </c>
      <c r="G708" s="2" t="s">
        <v>19</v>
      </c>
      <c r="H708" s="2" t="s">
        <v>26</v>
      </c>
      <c r="I708" s="2">
        <v>1</v>
      </c>
      <c r="J708" s="4" t="s">
        <v>32</v>
      </c>
      <c r="K708" s="2" t="s">
        <v>38</v>
      </c>
      <c r="L708" s="2">
        <v>33</v>
      </c>
      <c r="M708" t="str" cm="1">
        <f t="array" ref="M708">_xlfn.IFS(L708&lt;=35,"YOUNG_ADULTS",L708&lt;=55,"MIDDLE_AGED",L708&gt;55,"OLD-AGED")</f>
        <v>YOUNG_ADULTS</v>
      </c>
      <c r="N708" s="2" t="s">
        <v>20</v>
      </c>
      <c r="O708" t="str" cm="1">
        <f t="array" ref="O708">_xlfn.IFS(D708&lt;=50000,"low income",D708&lt;=100000,"Mid income",D708&gt;100000,"High income")</f>
        <v>Mid income</v>
      </c>
      <c r="P708" t="str" cm="1">
        <f t="array" ref="P708">_xlfn.IFS(E708&lt;=2,"&lt;=2",E708&gt;2,"&gt;2")</f>
        <v>&lt;=2</v>
      </c>
    </row>
    <row r="709" spans="1:16">
      <c r="A709" s="2">
        <v>17546</v>
      </c>
      <c r="B709" s="2" t="s">
        <v>16</v>
      </c>
      <c r="C709" s="2" t="s">
        <v>17</v>
      </c>
      <c r="D709" s="6">
        <v>70000</v>
      </c>
      <c r="E709" s="2">
        <v>1</v>
      </c>
      <c r="F709" s="2" t="s">
        <v>23</v>
      </c>
      <c r="G709" s="2" t="s">
        <v>19</v>
      </c>
      <c r="H709" s="2" t="s">
        <v>20</v>
      </c>
      <c r="I709" s="2">
        <v>1</v>
      </c>
      <c r="J709" s="4" t="s">
        <v>21</v>
      </c>
      <c r="K709" s="2" t="s">
        <v>38</v>
      </c>
      <c r="L709" s="2">
        <v>44</v>
      </c>
      <c r="M709" t="str" cm="1">
        <f t="array" ref="M709">_xlfn.IFS(L709&lt;=35,"YOUNG_ADULTS",L709&lt;=55,"MIDDLE_AGED",L709&gt;55,"OLD-AGED")</f>
        <v>MIDDLE_AGED</v>
      </c>
      <c r="N709" s="2" t="s">
        <v>20</v>
      </c>
      <c r="O709" t="str" cm="1">
        <f t="array" ref="O709">_xlfn.IFS(D709&lt;=50000,"low income",D709&lt;=100000,"Mid income",D709&gt;100000,"High income")</f>
        <v>Mid income</v>
      </c>
      <c r="P709" t="str" cm="1">
        <f t="array" ref="P709">_xlfn.IFS(E709&lt;=2,"&lt;=2",E709&gt;2,"&gt;2")</f>
        <v>&lt;=2</v>
      </c>
    </row>
    <row r="710" spans="1:16">
      <c r="A710" s="2">
        <v>18069</v>
      </c>
      <c r="B710" s="2" t="s">
        <v>16</v>
      </c>
      <c r="C710" s="2" t="s">
        <v>16</v>
      </c>
      <c r="D710" s="6">
        <v>70000</v>
      </c>
      <c r="E710" s="2">
        <v>5</v>
      </c>
      <c r="F710" s="2" t="s">
        <v>18</v>
      </c>
      <c r="G710" s="2" t="s">
        <v>34</v>
      </c>
      <c r="H710" s="2" t="s">
        <v>20</v>
      </c>
      <c r="I710" s="2">
        <v>4</v>
      </c>
      <c r="J710" s="4" t="s">
        <v>36</v>
      </c>
      <c r="K710" s="2" t="s">
        <v>38</v>
      </c>
      <c r="L710" s="2">
        <v>60</v>
      </c>
      <c r="M710" t="str" cm="1">
        <f t="array" ref="M710">_xlfn.IFS(L710&lt;=35,"YOUNG_ADULTS",L710&lt;=55,"MIDDLE_AGED",L710&gt;55,"OLD-AGED")</f>
        <v>OLD-AGED</v>
      </c>
      <c r="O710" t="str" cm="1">
        <f t="array" ref="O710">_xlfn.IFS(D710&lt;=50000,"low income",D710&lt;=100000,"Mid income",D710&gt;100000,"High income")</f>
        <v>Mid income</v>
      </c>
      <c r="P710" t="str" cm="1">
        <f t="array" ref="P710">_xlfn.IFS(E710&lt;=2,"&lt;=2",E710&gt;2,"&gt;2")</f>
        <v>&gt;2</v>
      </c>
    </row>
    <row r="711" spans="1:16">
      <c r="A711" s="2">
        <v>23712</v>
      </c>
      <c r="B711" s="2" t="s">
        <v>28</v>
      </c>
      <c r="C711" s="2" t="s">
        <v>17</v>
      </c>
      <c r="D711" s="6">
        <v>70000</v>
      </c>
      <c r="E711" s="2">
        <v>2</v>
      </c>
      <c r="F711" s="2" t="s">
        <v>18</v>
      </c>
      <c r="G711" s="2" t="s">
        <v>34</v>
      </c>
      <c r="H711" s="2" t="s">
        <v>20</v>
      </c>
      <c r="I711" s="2">
        <v>1</v>
      </c>
      <c r="J711" s="4" t="s">
        <v>36</v>
      </c>
      <c r="K711" s="2" t="s">
        <v>38</v>
      </c>
      <c r="L711" s="2">
        <v>59</v>
      </c>
      <c r="M711" t="str" cm="1">
        <f t="array" ref="M711">_xlfn.IFS(L711&lt;=35,"YOUNG_ADULTS",L711&lt;=55,"MIDDLE_AGED",L711&gt;55,"OLD-AGED")</f>
        <v>OLD-AGED</v>
      </c>
      <c r="O711" t="str" cm="1">
        <f t="array" ref="O711">_xlfn.IFS(D711&lt;=50000,"low income",D711&lt;=100000,"Mid income",D711&gt;100000,"High income")</f>
        <v>Mid income</v>
      </c>
      <c r="P711" t="str" cm="1">
        <f t="array" ref="P711">_xlfn.IFS(E711&lt;=2,"&lt;=2",E711&gt;2,"&gt;2")</f>
        <v>&lt;=2</v>
      </c>
    </row>
    <row r="712" spans="1:16">
      <c r="A712" s="2">
        <v>23358</v>
      </c>
      <c r="B712" s="2" t="s">
        <v>16</v>
      </c>
      <c r="C712" s="2" t="s">
        <v>16</v>
      </c>
      <c r="D712" s="6">
        <v>60000</v>
      </c>
      <c r="E712" s="2">
        <v>0</v>
      </c>
      <c r="F712" s="2" t="s">
        <v>33</v>
      </c>
      <c r="G712" s="2" t="s">
        <v>25</v>
      </c>
      <c r="H712" s="2" t="s">
        <v>20</v>
      </c>
      <c r="I712" s="2">
        <v>2</v>
      </c>
      <c r="J712" s="4" t="s">
        <v>29</v>
      </c>
      <c r="K712" s="2" t="s">
        <v>38</v>
      </c>
      <c r="L712" s="2">
        <v>32</v>
      </c>
      <c r="M712" t="str" cm="1">
        <f t="array" ref="M712">_xlfn.IFS(L712&lt;=35,"YOUNG_ADULTS",L712&lt;=55,"MIDDLE_AGED",L712&gt;55,"OLD-AGED")</f>
        <v>YOUNG_ADULTS</v>
      </c>
      <c r="N712" s="2" t="s">
        <v>20</v>
      </c>
      <c r="O712" t="str" cm="1">
        <f t="array" ref="O712">_xlfn.IFS(D712&lt;=50000,"low income",D712&lt;=100000,"Mid income",D712&gt;100000,"High income")</f>
        <v>Mid income</v>
      </c>
      <c r="P712" t="str" cm="1">
        <f t="array" ref="P712">_xlfn.IFS(E712&lt;=2,"&lt;=2",E712&gt;2,"&gt;2")</f>
        <v>&lt;=2</v>
      </c>
    </row>
    <row r="713" spans="1:16">
      <c r="A713" s="2">
        <v>20518</v>
      </c>
      <c r="B713" s="2" t="s">
        <v>16</v>
      </c>
      <c r="C713" s="2" t="s">
        <v>17</v>
      </c>
      <c r="D713" s="6">
        <v>70000</v>
      </c>
      <c r="E713" s="2">
        <v>2</v>
      </c>
      <c r="F713" s="2" t="s">
        <v>23</v>
      </c>
      <c r="G713" s="2" t="s">
        <v>25</v>
      </c>
      <c r="H713" s="2" t="s">
        <v>20</v>
      </c>
      <c r="I713" s="2">
        <v>1</v>
      </c>
      <c r="J713" s="4" t="s">
        <v>36</v>
      </c>
      <c r="K713" s="2" t="s">
        <v>38</v>
      </c>
      <c r="L713" s="2">
        <v>58</v>
      </c>
      <c r="M713" t="str" cm="1">
        <f t="array" ref="M713">_xlfn.IFS(L713&lt;=35,"YOUNG_ADULTS",L713&lt;=55,"MIDDLE_AGED",L713&gt;55,"OLD-AGED")</f>
        <v>OLD-AGED</v>
      </c>
      <c r="O713" t="str" cm="1">
        <f t="array" ref="O713">_xlfn.IFS(D713&lt;=50000,"low income",D713&lt;=100000,"Mid income",D713&gt;100000,"High income")</f>
        <v>Mid income</v>
      </c>
      <c r="P713" t="str" cm="1">
        <f t="array" ref="P713">_xlfn.IFS(E713&lt;=2,"&lt;=2",E713&gt;2,"&gt;2")</f>
        <v>&lt;=2</v>
      </c>
    </row>
    <row r="714" spans="1:16">
      <c r="A714" s="2">
        <v>28026</v>
      </c>
      <c r="B714" s="2" t="s">
        <v>16</v>
      </c>
      <c r="C714" s="2" t="s">
        <v>17</v>
      </c>
      <c r="D714" s="6">
        <v>40000</v>
      </c>
      <c r="E714" s="2">
        <v>2</v>
      </c>
      <c r="F714" s="2" t="s">
        <v>33</v>
      </c>
      <c r="G714" s="2" t="s">
        <v>25</v>
      </c>
      <c r="H714" s="2" t="s">
        <v>26</v>
      </c>
      <c r="I714" s="2">
        <v>2</v>
      </c>
      <c r="J714" s="4" t="s">
        <v>27</v>
      </c>
      <c r="K714" s="2" t="s">
        <v>38</v>
      </c>
      <c r="L714" s="2">
        <v>59</v>
      </c>
      <c r="M714" t="str" cm="1">
        <f t="array" ref="M714">_xlfn.IFS(L714&lt;=35,"YOUNG_ADULTS",L714&lt;=55,"MIDDLE_AGED",L714&gt;55,"OLD-AGED")</f>
        <v>OLD-AGED</v>
      </c>
      <c r="O714" t="str" cm="1">
        <f t="array" ref="O714">_xlfn.IFS(D714&lt;=50000,"low income",D714&lt;=100000,"Mid income",D714&gt;100000,"High income")</f>
        <v>low income</v>
      </c>
      <c r="P714" t="str" cm="1">
        <f t="array" ref="P714">_xlfn.IFS(E714&lt;=2,"&lt;=2",E714&gt;2,"&gt;2")</f>
        <v>&lt;=2</v>
      </c>
    </row>
    <row r="715" spans="1:16">
      <c r="A715" s="2">
        <v>11669</v>
      </c>
      <c r="B715" s="2" t="s">
        <v>28</v>
      </c>
      <c r="C715" s="2" t="s">
        <v>17</v>
      </c>
      <c r="D715" s="6">
        <v>70000</v>
      </c>
      <c r="E715" s="2">
        <v>2</v>
      </c>
      <c r="F715" s="2" t="s">
        <v>18</v>
      </c>
      <c r="G715" s="2" t="s">
        <v>19</v>
      </c>
      <c r="H715" s="2" t="s">
        <v>20</v>
      </c>
      <c r="I715" s="2">
        <v>1</v>
      </c>
      <c r="J715" s="4" t="s">
        <v>27</v>
      </c>
      <c r="K715" s="2" t="s">
        <v>38</v>
      </c>
      <c r="L715" s="2">
        <v>38</v>
      </c>
      <c r="M715" t="str" cm="1">
        <f t="array" ref="M715">_xlfn.IFS(L715&lt;=35,"YOUNG_ADULTS",L715&lt;=55,"MIDDLE_AGED",L715&gt;55,"OLD-AGED")</f>
        <v>MIDDLE_AGED</v>
      </c>
      <c r="O715" t="str" cm="1">
        <f t="array" ref="O715">_xlfn.IFS(D715&lt;=50000,"low income",D715&lt;=100000,"Mid income",D715&gt;100000,"High income")</f>
        <v>Mid income</v>
      </c>
      <c r="P715" t="str" cm="1">
        <f t="array" ref="P715">_xlfn.IFS(E715&lt;=2,"&lt;=2",E715&gt;2,"&gt;2")</f>
        <v>&lt;=2</v>
      </c>
    </row>
    <row r="716" spans="1:16">
      <c r="A716" s="2">
        <v>16020</v>
      </c>
      <c r="B716" s="2" t="s">
        <v>16</v>
      </c>
      <c r="C716" s="2" t="s">
        <v>16</v>
      </c>
      <c r="D716" s="6">
        <v>40000</v>
      </c>
      <c r="E716" s="2">
        <v>0</v>
      </c>
      <c r="F716" s="2" t="s">
        <v>33</v>
      </c>
      <c r="G716" s="2" t="s">
        <v>19</v>
      </c>
      <c r="H716" s="2" t="s">
        <v>20</v>
      </c>
      <c r="I716" s="2">
        <v>2</v>
      </c>
      <c r="J716" s="4" t="s">
        <v>29</v>
      </c>
      <c r="K716" s="2" t="s">
        <v>38</v>
      </c>
      <c r="L716" s="2">
        <v>28</v>
      </c>
      <c r="M716" t="str" cm="1">
        <f t="array" ref="M716">_xlfn.IFS(L716&lt;=35,"YOUNG_ADULTS",L716&lt;=55,"MIDDLE_AGED",L716&gt;55,"OLD-AGED")</f>
        <v>YOUNG_ADULTS</v>
      </c>
      <c r="N716" s="2" t="s">
        <v>20</v>
      </c>
      <c r="O716" t="str" cm="1">
        <f t="array" ref="O716">_xlfn.IFS(D716&lt;=50000,"low income",D716&lt;=100000,"Mid income",D716&gt;100000,"High income")</f>
        <v>low income</v>
      </c>
      <c r="P716" t="str" cm="1">
        <f t="array" ref="P716">_xlfn.IFS(E716&lt;=2,"&lt;=2",E716&gt;2,"&gt;2")</f>
        <v>&lt;=2</v>
      </c>
    </row>
    <row r="717" spans="1:16">
      <c r="A717" s="2">
        <v>27090</v>
      </c>
      <c r="B717" s="2" t="s">
        <v>16</v>
      </c>
      <c r="C717" s="2" t="s">
        <v>17</v>
      </c>
      <c r="D717" s="6">
        <v>60000</v>
      </c>
      <c r="E717" s="2">
        <v>1</v>
      </c>
      <c r="F717" s="2" t="s">
        <v>37</v>
      </c>
      <c r="G717" s="2" t="s">
        <v>25</v>
      </c>
      <c r="H717" s="2" t="s">
        <v>20</v>
      </c>
      <c r="I717" s="2">
        <v>0</v>
      </c>
      <c r="J717" s="4" t="s">
        <v>27</v>
      </c>
      <c r="K717" s="2" t="s">
        <v>38</v>
      </c>
      <c r="L717" s="2">
        <v>37</v>
      </c>
      <c r="M717" t="str" cm="1">
        <f t="array" ref="M717">_xlfn.IFS(L717&lt;=35,"YOUNG_ADULTS",L717&lt;=55,"MIDDLE_AGED",L717&gt;55,"OLD-AGED")</f>
        <v>MIDDLE_AGED</v>
      </c>
      <c r="N717" s="2" t="s">
        <v>20</v>
      </c>
      <c r="O717" t="str" cm="1">
        <f t="array" ref="O717">_xlfn.IFS(D717&lt;=50000,"low income",D717&lt;=100000,"Mid income",D717&gt;100000,"High income")</f>
        <v>Mid income</v>
      </c>
      <c r="P717" t="str" cm="1">
        <f t="array" ref="P717">_xlfn.IFS(E717&lt;=2,"&lt;=2",E717&gt;2,"&gt;2")</f>
        <v>&lt;=2</v>
      </c>
    </row>
    <row r="718" spans="1:16">
      <c r="A718" s="2">
        <v>27198</v>
      </c>
      <c r="B718" s="2" t="s">
        <v>28</v>
      </c>
      <c r="C718" s="2" t="s">
        <v>17</v>
      </c>
      <c r="D718" s="6">
        <v>80000</v>
      </c>
      <c r="E718" s="2">
        <v>0</v>
      </c>
      <c r="F718" s="2" t="s">
        <v>37</v>
      </c>
      <c r="G718" s="2" t="s">
        <v>19</v>
      </c>
      <c r="H718" s="2" t="s">
        <v>26</v>
      </c>
      <c r="I718" s="2">
        <v>0</v>
      </c>
      <c r="J718" s="4" t="s">
        <v>21</v>
      </c>
      <c r="K718" s="2" t="s">
        <v>38</v>
      </c>
      <c r="L718" s="2">
        <v>40</v>
      </c>
      <c r="M718" t="str" cm="1">
        <f t="array" ref="M718">_xlfn.IFS(L718&lt;=35,"YOUNG_ADULTS",L718&lt;=55,"MIDDLE_AGED",L718&gt;55,"OLD-AGED")</f>
        <v>MIDDLE_AGED</v>
      </c>
      <c r="O718" t="str" cm="1">
        <f t="array" ref="O718">_xlfn.IFS(D718&lt;=50000,"low income",D718&lt;=100000,"Mid income",D718&gt;100000,"High income")</f>
        <v>Mid income</v>
      </c>
      <c r="P718" t="str" cm="1">
        <f t="array" ref="P718">_xlfn.IFS(E718&lt;=2,"&lt;=2",E718&gt;2,"&gt;2")</f>
        <v>&lt;=2</v>
      </c>
    </row>
    <row r="719" spans="1:16">
      <c r="A719" s="2">
        <v>19661</v>
      </c>
      <c r="B719" s="2" t="s">
        <v>28</v>
      </c>
      <c r="C719" s="2" t="s">
        <v>16</v>
      </c>
      <c r="D719" s="6">
        <v>90000</v>
      </c>
      <c r="E719" s="2">
        <v>4</v>
      </c>
      <c r="F719" s="2" t="s">
        <v>18</v>
      </c>
      <c r="G719" s="2" t="s">
        <v>34</v>
      </c>
      <c r="H719" s="2" t="s">
        <v>20</v>
      </c>
      <c r="I719" s="2">
        <v>1</v>
      </c>
      <c r="J719" s="4" t="s">
        <v>32</v>
      </c>
      <c r="K719" s="2" t="s">
        <v>38</v>
      </c>
      <c r="L719" s="2">
        <v>38</v>
      </c>
      <c r="M719" t="str" cm="1">
        <f t="array" ref="M719">_xlfn.IFS(L719&lt;=35,"YOUNG_ADULTS",L719&lt;=55,"MIDDLE_AGED",L719&gt;55,"OLD-AGED")</f>
        <v>MIDDLE_AGED</v>
      </c>
      <c r="N719" s="2" t="s">
        <v>20</v>
      </c>
      <c r="O719" t="str" cm="1">
        <f t="array" ref="O719">_xlfn.IFS(D719&lt;=50000,"low income",D719&lt;=100000,"Mid income",D719&gt;100000,"High income")</f>
        <v>Mid income</v>
      </c>
      <c r="P719" t="str" cm="1">
        <f t="array" ref="P719">_xlfn.IFS(E719&lt;=2,"&lt;=2",E719&gt;2,"&gt;2")</f>
        <v>&gt;2</v>
      </c>
    </row>
    <row r="720" spans="1:16">
      <c r="A720" s="2">
        <v>26327</v>
      </c>
      <c r="B720" s="2" t="s">
        <v>16</v>
      </c>
      <c r="C720" s="2" t="s">
        <v>16</v>
      </c>
      <c r="D720" s="6">
        <v>70000</v>
      </c>
      <c r="E720" s="2">
        <v>4</v>
      </c>
      <c r="F720" s="2" t="s">
        <v>37</v>
      </c>
      <c r="G720" s="2" t="s">
        <v>25</v>
      </c>
      <c r="H720" s="2" t="s">
        <v>20</v>
      </c>
      <c r="I720" s="2">
        <v>0</v>
      </c>
      <c r="J720" s="4" t="s">
        <v>27</v>
      </c>
      <c r="K720" s="2" t="s">
        <v>38</v>
      </c>
      <c r="L720" s="2">
        <v>36</v>
      </c>
      <c r="M720" t="str" cm="1">
        <f t="array" ref="M720">_xlfn.IFS(L720&lt;=35,"YOUNG_ADULTS",L720&lt;=55,"MIDDLE_AGED",L720&gt;55,"OLD-AGED")</f>
        <v>MIDDLE_AGED</v>
      </c>
      <c r="N720" s="2" t="s">
        <v>20</v>
      </c>
      <c r="O720" t="str" cm="1">
        <f t="array" ref="O720">_xlfn.IFS(D720&lt;=50000,"low income",D720&lt;=100000,"Mid income",D720&gt;100000,"High income")</f>
        <v>Mid income</v>
      </c>
      <c r="P720" t="str" cm="1">
        <f t="array" ref="P720">_xlfn.IFS(E720&lt;=2,"&lt;=2",E720&gt;2,"&gt;2")</f>
        <v>&gt;2</v>
      </c>
    </row>
    <row r="721" spans="1:16">
      <c r="A721" s="2">
        <v>26341</v>
      </c>
      <c r="B721" s="2" t="s">
        <v>16</v>
      </c>
      <c r="C721" s="2" t="s">
        <v>17</v>
      </c>
      <c r="D721" s="6">
        <v>70000</v>
      </c>
      <c r="E721" s="2">
        <v>5</v>
      </c>
      <c r="F721" s="2" t="s">
        <v>37</v>
      </c>
      <c r="G721" s="2" t="s">
        <v>25</v>
      </c>
      <c r="H721" s="2" t="s">
        <v>20</v>
      </c>
      <c r="I721" s="2">
        <v>2</v>
      </c>
      <c r="J721" s="4" t="s">
        <v>21</v>
      </c>
      <c r="K721" s="2" t="s">
        <v>38</v>
      </c>
      <c r="L721" s="2">
        <v>37</v>
      </c>
      <c r="M721" t="str" cm="1">
        <f t="array" ref="M721">_xlfn.IFS(L721&lt;=35,"YOUNG_ADULTS",L721&lt;=55,"MIDDLE_AGED",L721&gt;55,"OLD-AGED")</f>
        <v>MIDDLE_AGED</v>
      </c>
      <c r="O721" t="str" cm="1">
        <f t="array" ref="O721">_xlfn.IFS(D721&lt;=50000,"low income",D721&lt;=100000,"Mid income",D721&gt;100000,"High income")</f>
        <v>Mid income</v>
      </c>
      <c r="P721" t="str" cm="1">
        <f t="array" ref="P721">_xlfn.IFS(E721&lt;=2,"&lt;=2",E721&gt;2,"&gt;2")</f>
        <v>&gt;2</v>
      </c>
    </row>
    <row r="722" spans="1:16">
      <c r="A722" s="2">
        <v>24958</v>
      </c>
      <c r="B722" s="2" t="s">
        <v>28</v>
      </c>
      <c r="C722" s="2" t="s">
        <v>17</v>
      </c>
      <c r="D722" s="6">
        <v>40000</v>
      </c>
      <c r="E722" s="2">
        <v>5</v>
      </c>
      <c r="F722" s="2" t="s">
        <v>33</v>
      </c>
      <c r="G722" s="2" t="s">
        <v>25</v>
      </c>
      <c r="H722" s="2" t="s">
        <v>26</v>
      </c>
      <c r="I722" s="2">
        <v>3</v>
      </c>
      <c r="J722" s="4" t="s">
        <v>27</v>
      </c>
      <c r="K722" s="2" t="s">
        <v>38</v>
      </c>
      <c r="L722" s="2">
        <v>60</v>
      </c>
      <c r="M722" t="str" cm="1">
        <f t="array" ref="M722">_xlfn.IFS(L722&lt;=35,"YOUNG_ADULTS",L722&lt;=55,"MIDDLE_AGED",L722&gt;55,"OLD-AGED")</f>
        <v>OLD-AGED</v>
      </c>
      <c r="N722" s="2" t="s">
        <v>20</v>
      </c>
      <c r="O722" t="str" cm="1">
        <f t="array" ref="O722">_xlfn.IFS(D722&lt;=50000,"low income",D722&lt;=100000,"Mid income",D722&gt;100000,"High income")</f>
        <v>low income</v>
      </c>
      <c r="P722" t="str" cm="1">
        <f t="array" ref="P722">_xlfn.IFS(E722&lt;=2,"&lt;=2",E722&gt;2,"&gt;2")</f>
        <v>&gt;2</v>
      </c>
    </row>
    <row r="723" spans="1:16">
      <c r="A723" s="2">
        <v>13287</v>
      </c>
      <c r="B723" s="2" t="s">
        <v>28</v>
      </c>
      <c r="C723" s="2" t="s">
        <v>16</v>
      </c>
      <c r="D723" s="6">
        <v>110000</v>
      </c>
      <c r="E723" s="2">
        <v>4</v>
      </c>
      <c r="F723" s="2" t="s">
        <v>18</v>
      </c>
      <c r="G723" s="2" t="s">
        <v>34</v>
      </c>
      <c r="H723" s="2" t="s">
        <v>20</v>
      </c>
      <c r="I723" s="2">
        <v>4</v>
      </c>
      <c r="J723" s="4" t="s">
        <v>29</v>
      </c>
      <c r="K723" s="2" t="s">
        <v>38</v>
      </c>
      <c r="L723" s="2">
        <v>42</v>
      </c>
      <c r="M723" t="str" cm="1">
        <f t="array" ref="M723">_xlfn.IFS(L723&lt;=35,"YOUNG_ADULTS",L723&lt;=55,"MIDDLE_AGED",L723&gt;55,"OLD-AGED")</f>
        <v>MIDDLE_AGED</v>
      </c>
      <c r="N723" s="2" t="s">
        <v>20</v>
      </c>
      <c r="O723" t="str" cm="1">
        <f t="array" ref="O723">_xlfn.IFS(D723&lt;=50000,"low income",D723&lt;=100000,"Mid income",D723&gt;100000,"High income")</f>
        <v>High income</v>
      </c>
      <c r="P723" t="str" cm="1">
        <f t="array" ref="P723">_xlfn.IFS(E723&lt;=2,"&lt;=2",E723&gt;2,"&gt;2")</f>
        <v>&gt;2</v>
      </c>
    </row>
    <row r="724" spans="1:16">
      <c r="A724" s="2">
        <v>14493</v>
      </c>
      <c r="B724" s="2" t="s">
        <v>28</v>
      </c>
      <c r="C724" s="2" t="s">
        <v>17</v>
      </c>
      <c r="D724" s="6">
        <v>70000</v>
      </c>
      <c r="E724" s="2">
        <v>3</v>
      </c>
      <c r="F724" s="2" t="s">
        <v>37</v>
      </c>
      <c r="G724" s="2" t="s">
        <v>34</v>
      </c>
      <c r="H724" s="2" t="s">
        <v>26</v>
      </c>
      <c r="I724" s="2">
        <v>2</v>
      </c>
      <c r="J724" s="4" t="s">
        <v>32</v>
      </c>
      <c r="K724" s="2" t="s">
        <v>38</v>
      </c>
      <c r="L724" s="2">
        <v>53</v>
      </c>
      <c r="M724" t="str" cm="1">
        <f t="array" ref="M724">_xlfn.IFS(L724&lt;=35,"YOUNG_ADULTS",L724&lt;=55,"MIDDLE_AGED",L724&gt;55,"OLD-AGED")</f>
        <v>MIDDLE_AGED</v>
      </c>
      <c r="O724" t="str" cm="1">
        <f t="array" ref="O724">_xlfn.IFS(D724&lt;=50000,"low income",D724&lt;=100000,"Mid income",D724&gt;100000,"High income")</f>
        <v>Mid income</v>
      </c>
      <c r="P724" t="str" cm="1">
        <f t="array" ref="P724">_xlfn.IFS(E724&lt;=2,"&lt;=2",E724&gt;2,"&gt;2")</f>
        <v>&gt;2</v>
      </c>
    </row>
    <row r="725" spans="1:16">
      <c r="A725" s="2">
        <v>26678</v>
      </c>
      <c r="B725" s="2" t="s">
        <v>28</v>
      </c>
      <c r="C725" s="2" t="s">
        <v>17</v>
      </c>
      <c r="D725" s="6">
        <v>80000</v>
      </c>
      <c r="E725" s="2">
        <v>2</v>
      </c>
      <c r="F725" s="2" t="s">
        <v>35</v>
      </c>
      <c r="G725" s="2" t="s">
        <v>19</v>
      </c>
      <c r="H725" s="2" t="s">
        <v>20</v>
      </c>
      <c r="I725" s="2">
        <v>2</v>
      </c>
      <c r="J725" s="4" t="s">
        <v>29</v>
      </c>
      <c r="K725" s="2" t="s">
        <v>38</v>
      </c>
      <c r="L725" s="2">
        <v>49</v>
      </c>
      <c r="M725" t="str" cm="1">
        <f t="array" ref="M725">_xlfn.IFS(L725&lt;=35,"YOUNG_ADULTS",L725&lt;=55,"MIDDLE_AGED",L725&gt;55,"OLD-AGED")</f>
        <v>MIDDLE_AGED</v>
      </c>
      <c r="O725" t="str" cm="1">
        <f t="array" ref="O725">_xlfn.IFS(D725&lt;=50000,"low income",D725&lt;=100000,"Mid income",D725&gt;100000,"High income")</f>
        <v>Mid income</v>
      </c>
      <c r="P725" t="str" cm="1">
        <f t="array" ref="P725">_xlfn.IFS(E725&lt;=2,"&lt;=2",E725&gt;2,"&gt;2")</f>
        <v>&lt;=2</v>
      </c>
    </row>
    <row r="726" spans="1:16">
      <c r="A726" s="2">
        <v>23275</v>
      </c>
      <c r="B726" s="2" t="s">
        <v>16</v>
      </c>
      <c r="C726" s="2" t="s">
        <v>16</v>
      </c>
      <c r="D726" s="6">
        <v>30000</v>
      </c>
      <c r="E726" s="2">
        <v>2</v>
      </c>
      <c r="F726" s="2" t="s">
        <v>33</v>
      </c>
      <c r="G726" s="2" t="s">
        <v>19</v>
      </c>
      <c r="H726" s="2" t="s">
        <v>20</v>
      </c>
      <c r="I726" s="2">
        <v>2</v>
      </c>
      <c r="J726" s="4" t="s">
        <v>32</v>
      </c>
      <c r="K726" s="2" t="s">
        <v>38</v>
      </c>
      <c r="L726" s="2">
        <v>49</v>
      </c>
      <c r="M726" t="str" cm="1">
        <f t="array" ref="M726">_xlfn.IFS(L726&lt;=35,"YOUNG_ADULTS",L726&lt;=55,"MIDDLE_AGED",L726&gt;55,"OLD-AGED")</f>
        <v>MIDDLE_AGED</v>
      </c>
      <c r="O726" t="str" cm="1">
        <f t="array" ref="O726">_xlfn.IFS(D726&lt;=50000,"low income",D726&lt;=100000,"Mid income",D726&gt;100000,"High income")</f>
        <v>low income</v>
      </c>
      <c r="P726" t="str" cm="1">
        <f t="array" ref="P726">_xlfn.IFS(E726&lt;=2,"&lt;=2",E726&gt;2,"&gt;2")</f>
        <v>&lt;=2</v>
      </c>
    </row>
    <row r="727" spans="1:16">
      <c r="A727" s="2">
        <v>11270</v>
      </c>
      <c r="B727" s="2" t="s">
        <v>16</v>
      </c>
      <c r="C727" s="2" t="s">
        <v>16</v>
      </c>
      <c r="D727" s="6">
        <v>130000</v>
      </c>
      <c r="E727" s="2">
        <v>2</v>
      </c>
      <c r="F727" s="2" t="s">
        <v>37</v>
      </c>
      <c r="G727" s="2" t="s">
        <v>34</v>
      </c>
      <c r="H727" s="2" t="s">
        <v>20</v>
      </c>
      <c r="I727" s="2">
        <v>3</v>
      </c>
      <c r="J727" s="4" t="s">
        <v>21</v>
      </c>
      <c r="K727" s="2" t="s">
        <v>38</v>
      </c>
      <c r="L727" s="2">
        <v>42</v>
      </c>
      <c r="M727" t="str" cm="1">
        <f t="array" ref="M727">_xlfn.IFS(L727&lt;=35,"YOUNG_ADULTS",L727&lt;=55,"MIDDLE_AGED",L727&gt;55,"OLD-AGED")</f>
        <v>MIDDLE_AGED</v>
      </c>
      <c r="N727" s="2" t="s">
        <v>20</v>
      </c>
      <c r="O727" t="str" cm="1">
        <f t="array" ref="O727">_xlfn.IFS(D727&lt;=50000,"low income",D727&lt;=100000,"Mid income",D727&gt;100000,"High income")</f>
        <v>High income</v>
      </c>
      <c r="P727" t="str" cm="1">
        <f t="array" ref="P727">_xlfn.IFS(E727&lt;=2,"&lt;=2",E727&gt;2,"&gt;2")</f>
        <v>&lt;=2</v>
      </c>
    </row>
    <row r="728" spans="1:16">
      <c r="A728" s="2">
        <v>20084</v>
      </c>
      <c r="B728" s="2" t="s">
        <v>16</v>
      </c>
      <c r="C728" s="2" t="s">
        <v>16</v>
      </c>
      <c r="D728" s="6">
        <v>20000</v>
      </c>
      <c r="E728" s="2">
        <v>2</v>
      </c>
      <c r="F728" s="2" t="s">
        <v>33</v>
      </c>
      <c r="G728" s="2" t="s">
        <v>31</v>
      </c>
      <c r="H728" s="2" t="s">
        <v>26</v>
      </c>
      <c r="I728" s="2">
        <v>2</v>
      </c>
      <c r="J728" s="4" t="s">
        <v>21</v>
      </c>
      <c r="K728" s="2" t="s">
        <v>38</v>
      </c>
      <c r="L728" s="2">
        <v>53</v>
      </c>
      <c r="M728" t="str" cm="1">
        <f t="array" ref="M728">_xlfn.IFS(L728&lt;=35,"YOUNG_ADULTS",L728&lt;=55,"MIDDLE_AGED",L728&gt;55,"OLD-AGED")</f>
        <v>MIDDLE_AGED</v>
      </c>
      <c r="O728" t="str" cm="1">
        <f t="array" ref="O728">_xlfn.IFS(D728&lt;=50000,"low income",D728&lt;=100000,"Mid income",D728&gt;100000,"High income")</f>
        <v>low income</v>
      </c>
      <c r="P728" t="str" cm="1">
        <f t="array" ref="P728">_xlfn.IFS(E728&lt;=2,"&lt;=2",E728&gt;2,"&gt;2")</f>
        <v>&lt;=2</v>
      </c>
    </row>
    <row r="729" spans="1:16">
      <c r="A729" s="2">
        <v>16144</v>
      </c>
      <c r="B729" s="2" t="s">
        <v>16</v>
      </c>
      <c r="C729" s="2" t="s">
        <v>16</v>
      </c>
      <c r="D729" s="6">
        <v>70000</v>
      </c>
      <c r="E729" s="2">
        <v>1</v>
      </c>
      <c r="F729" s="2" t="s">
        <v>37</v>
      </c>
      <c r="G729" s="2" t="s">
        <v>25</v>
      </c>
      <c r="H729" s="2" t="s">
        <v>20</v>
      </c>
      <c r="I729" s="2">
        <v>1</v>
      </c>
      <c r="J729" s="4" t="s">
        <v>21</v>
      </c>
      <c r="K729" s="2" t="s">
        <v>38</v>
      </c>
      <c r="L729" s="2">
        <v>46</v>
      </c>
      <c r="M729" t="str" cm="1">
        <f t="array" ref="M729">_xlfn.IFS(L729&lt;=35,"YOUNG_ADULTS",L729&lt;=55,"MIDDLE_AGED",L729&gt;55,"OLD-AGED")</f>
        <v>MIDDLE_AGED</v>
      </c>
      <c r="N729" s="2" t="s">
        <v>20</v>
      </c>
      <c r="O729" t="str" cm="1">
        <f t="array" ref="O729">_xlfn.IFS(D729&lt;=50000,"low income",D729&lt;=100000,"Mid income",D729&gt;100000,"High income")</f>
        <v>Mid income</v>
      </c>
      <c r="P729" t="str" cm="1">
        <f t="array" ref="P729">_xlfn.IFS(E729&lt;=2,"&lt;=2",E729&gt;2,"&gt;2")</f>
        <v>&lt;=2</v>
      </c>
    </row>
    <row r="730" spans="1:16">
      <c r="A730" s="2">
        <v>27731</v>
      </c>
      <c r="B730" s="2" t="s">
        <v>16</v>
      </c>
      <c r="C730" s="2" t="s">
        <v>16</v>
      </c>
      <c r="D730" s="6">
        <v>40000</v>
      </c>
      <c r="E730" s="2">
        <v>0</v>
      </c>
      <c r="F730" s="2" t="s">
        <v>33</v>
      </c>
      <c r="G730" s="2" t="s">
        <v>19</v>
      </c>
      <c r="H730" s="2" t="s">
        <v>20</v>
      </c>
      <c r="I730" s="2">
        <v>2</v>
      </c>
      <c r="J730" s="4" t="s">
        <v>29</v>
      </c>
      <c r="K730" s="2" t="s">
        <v>38</v>
      </c>
      <c r="L730" s="2">
        <v>27</v>
      </c>
      <c r="M730" t="str" cm="1">
        <f t="array" ref="M730">_xlfn.IFS(L730&lt;=35,"YOUNG_ADULTS",L730&lt;=55,"MIDDLE_AGED",L730&gt;55,"OLD-AGED")</f>
        <v>YOUNG_ADULTS</v>
      </c>
      <c r="O730" t="str" cm="1">
        <f t="array" ref="O730">_xlfn.IFS(D730&lt;=50000,"low income",D730&lt;=100000,"Mid income",D730&gt;100000,"High income")</f>
        <v>low income</v>
      </c>
      <c r="P730" t="str" cm="1">
        <f t="array" ref="P730">_xlfn.IFS(E730&lt;=2,"&lt;=2",E730&gt;2,"&gt;2")</f>
        <v>&lt;=2</v>
      </c>
    </row>
    <row r="731" spans="1:16">
      <c r="A731" s="2">
        <v>11886</v>
      </c>
      <c r="B731" s="2" t="s">
        <v>16</v>
      </c>
      <c r="C731" s="2" t="s">
        <v>17</v>
      </c>
      <c r="D731" s="6">
        <v>60000</v>
      </c>
      <c r="E731" s="2">
        <v>3</v>
      </c>
      <c r="F731" s="2" t="s">
        <v>18</v>
      </c>
      <c r="G731" s="2" t="s">
        <v>25</v>
      </c>
      <c r="H731" s="2" t="s">
        <v>20</v>
      </c>
      <c r="I731" s="2">
        <v>1</v>
      </c>
      <c r="J731" s="4" t="s">
        <v>21</v>
      </c>
      <c r="K731" s="2" t="s">
        <v>38</v>
      </c>
      <c r="L731" s="2">
        <v>48</v>
      </c>
      <c r="M731" t="str" cm="1">
        <f t="array" ref="M731">_xlfn.IFS(L731&lt;=35,"YOUNG_ADULTS",L731&lt;=55,"MIDDLE_AGED",L731&gt;55,"OLD-AGED")</f>
        <v>MIDDLE_AGED</v>
      </c>
      <c r="N731" s="2" t="s">
        <v>20</v>
      </c>
      <c r="O731" t="str" cm="1">
        <f t="array" ref="O731">_xlfn.IFS(D731&lt;=50000,"low income",D731&lt;=100000,"Mid income",D731&gt;100000,"High income")</f>
        <v>Mid income</v>
      </c>
      <c r="P731" t="str" cm="1">
        <f t="array" ref="P731">_xlfn.IFS(E731&lt;=2,"&lt;=2",E731&gt;2,"&gt;2")</f>
        <v>&gt;2</v>
      </c>
    </row>
    <row r="732" spans="1:16">
      <c r="A732" s="2">
        <v>24324</v>
      </c>
      <c r="B732" s="2" t="s">
        <v>28</v>
      </c>
      <c r="C732" s="2" t="s">
        <v>17</v>
      </c>
      <c r="D732" s="6">
        <v>60000</v>
      </c>
      <c r="E732" s="2">
        <v>4</v>
      </c>
      <c r="F732" s="2" t="s">
        <v>18</v>
      </c>
      <c r="G732" s="2" t="s">
        <v>19</v>
      </c>
      <c r="H732" s="2" t="s">
        <v>20</v>
      </c>
      <c r="I732" s="2">
        <v>2</v>
      </c>
      <c r="J732" s="4" t="s">
        <v>27</v>
      </c>
      <c r="K732" s="2" t="s">
        <v>38</v>
      </c>
      <c r="L732" s="2">
        <v>41</v>
      </c>
      <c r="M732" t="str" cm="1">
        <f t="array" ref="M732">_xlfn.IFS(L732&lt;=35,"YOUNG_ADULTS",L732&lt;=55,"MIDDLE_AGED",L732&gt;55,"OLD-AGED")</f>
        <v>MIDDLE_AGED</v>
      </c>
      <c r="N732" s="2" t="s">
        <v>20</v>
      </c>
      <c r="O732" t="str" cm="1">
        <f t="array" ref="O732">_xlfn.IFS(D732&lt;=50000,"low income",D732&lt;=100000,"Mid income",D732&gt;100000,"High income")</f>
        <v>Mid income</v>
      </c>
      <c r="P732" t="str" cm="1">
        <f t="array" ref="P732">_xlfn.IFS(E732&lt;=2,"&lt;=2",E732&gt;2,"&gt;2")</f>
        <v>&gt;2</v>
      </c>
    </row>
    <row r="733" spans="1:16">
      <c r="A733" s="2">
        <v>22220</v>
      </c>
      <c r="B733" s="2" t="s">
        <v>16</v>
      </c>
      <c r="C733" s="2" t="s">
        <v>16</v>
      </c>
      <c r="D733" s="6">
        <v>60000</v>
      </c>
      <c r="E733" s="2">
        <v>2</v>
      </c>
      <c r="F733" s="2" t="s">
        <v>33</v>
      </c>
      <c r="G733" s="2" t="s">
        <v>25</v>
      </c>
      <c r="H733" s="2" t="s">
        <v>26</v>
      </c>
      <c r="I733" s="2">
        <v>2</v>
      </c>
      <c r="J733" s="4" t="s">
        <v>32</v>
      </c>
      <c r="K733" s="2" t="s">
        <v>38</v>
      </c>
      <c r="L733" s="2">
        <v>49</v>
      </c>
      <c r="M733" t="str" cm="1">
        <f t="array" ref="M733">_xlfn.IFS(L733&lt;=35,"YOUNG_ADULTS",L733&lt;=55,"MIDDLE_AGED",L733&gt;55,"OLD-AGED")</f>
        <v>MIDDLE_AGED</v>
      </c>
      <c r="N733" s="2" t="s">
        <v>20</v>
      </c>
      <c r="O733" t="str" cm="1">
        <f t="array" ref="O733">_xlfn.IFS(D733&lt;=50000,"low income",D733&lt;=100000,"Mid income",D733&gt;100000,"High income")</f>
        <v>Mid income</v>
      </c>
      <c r="P733" t="str" cm="1">
        <f t="array" ref="P733">_xlfn.IFS(E733&lt;=2,"&lt;=2",E733&gt;2,"&gt;2")</f>
        <v>&lt;=2</v>
      </c>
    </row>
    <row r="734" spans="1:16">
      <c r="A734" s="2">
        <v>26625</v>
      </c>
      <c r="B734" s="2" t="s">
        <v>28</v>
      </c>
      <c r="C734" s="2" t="s">
        <v>17</v>
      </c>
      <c r="D734" s="6">
        <v>60000</v>
      </c>
      <c r="E734" s="2">
        <v>0</v>
      </c>
      <c r="F734" s="2" t="s">
        <v>37</v>
      </c>
      <c r="G734" s="2" t="s">
        <v>25</v>
      </c>
      <c r="H734" s="2" t="s">
        <v>20</v>
      </c>
      <c r="I734" s="2">
        <v>1</v>
      </c>
      <c r="J734" s="4" t="s">
        <v>27</v>
      </c>
      <c r="K734" s="2" t="s">
        <v>38</v>
      </c>
      <c r="L734" s="2">
        <v>38</v>
      </c>
      <c r="M734" t="str" cm="1">
        <f t="array" ref="M734">_xlfn.IFS(L734&lt;=35,"YOUNG_ADULTS",L734&lt;=55,"MIDDLE_AGED",L734&gt;55,"OLD-AGED")</f>
        <v>MIDDLE_AGED</v>
      </c>
      <c r="N734" s="2" t="s">
        <v>20</v>
      </c>
      <c r="O734" t="str" cm="1">
        <f t="array" ref="O734">_xlfn.IFS(D734&lt;=50000,"low income",D734&lt;=100000,"Mid income",D734&gt;100000,"High income")</f>
        <v>Mid income</v>
      </c>
      <c r="P734" t="str" cm="1">
        <f t="array" ref="P734">_xlfn.IFS(E734&lt;=2,"&lt;=2",E734&gt;2,"&gt;2")</f>
        <v>&lt;=2</v>
      </c>
    </row>
    <row r="735" spans="1:16">
      <c r="A735" s="2">
        <v>23027</v>
      </c>
      <c r="B735" s="2" t="s">
        <v>28</v>
      </c>
      <c r="C735" s="2" t="s">
        <v>16</v>
      </c>
      <c r="D735" s="6">
        <v>130000</v>
      </c>
      <c r="E735" s="2">
        <v>1</v>
      </c>
      <c r="F735" s="2" t="s">
        <v>18</v>
      </c>
      <c r="G735" s="2" t="s">
        <v>34</v>
      </c>
      <c r="H735" s="2" t="s">
        <v>26</v>
      </c>
      <c r="I735" s="2">
        <v>4</v>
      </c>
      <c r="J735" s="4" t="s">
        <v>21</v>
      </c>
      <c r="K735" s="2" t="s">
        <v>38</v>
      </c>
      <c r="L735" s="2">
        <v>44</v>
      </c>
      <c r="M735" t="str" cm="1">
        <f t="array" ref="M735">_xlfn.IFS(L735&lt;=35,"YOUNG_ADULTS",L735&lt;=55,"MIDDLE_AGED",L735&gt;55,"OLD-AGED")</f>
        <v>MIDDLE_AGED</v>
      </c>
      <c r="O735" t="str" cm="1">
        <f t="array" ref="O735">_xlfn.IFS(D735&lt;=50000,"low income",D735&lt;=100000,"Mid income",D735&gt;100000,"High income")</f>
        <v>High income</v>
      </c>
      <c r="P735" t="str" cm="1">
        <f t="array" ref="P735">_xlfn.IFS(E735&lt;=2,"&lt;=2",E735&gt;2,"&gt;2")</f>
        <v>&lt;=2</v>
      </c>
    </row>
    <row r="736" spans="1:16">
      <c r="A736" s="2">
        <v>16867</v>
      </c>
      <c r="B736" s="2" t="s">
        <v>28</v>
      </c>
      <c r="C736" s="2" t="s">
        <v>17</v>
      </c>
      <c r="D736" s="6">
        <v>130000</v>
      </c>
      <c r="E736" s="2">
        <v>1</v>
      </c>
      <c r="F736" s="2" t="s">
        <v>18</v>
      </c>
      <c r="G736" s="2" t="s">
        <v>34</v>
      </c>
      <c r="H736" s="2" t="s">
        <v>26</v>
      </c>
      <c r="I736" s="2">
        <v>3</v>
      </c>
      <c r="J736" s="4" t="s">
        <v>21</v>
      </c>
      <c r="K736" s="2" t="s">
        <v>38</v>
      </c>
      <c r="L736" s="2">
        <v>45</v>
      </c>
      <c r="M736" t="str" cm="1">
        <f t="array" ref="M736">_xlfn.IFS(L736&lt;=35,"YOUNG_ADULTS",L736&lt;=55,"MIDDLE_AGED",L736&gt;55,"OLD-AGED")</f>
        <v>MIDDLE_AGED</v>
      </c>
      <c r="N736" s="2" t="s">
        <v>20</v>
      </c>
      <c r="O736" t="str" cm="1">
        <f t="array" ref="O736">_xlfn.IFS(D736&lt;=50000,"low income",D736&lt;=100000,"Mid income",D736&gt;100000,"High income")</f>
        <v>High income</v>
      </c>
      <c r="P736" t="str" cm="1">
        <f t="array" ref="P736">_xlfn.IFS(E736&lt;=2,"&lt;=2",E736&gt;2,"&gt;2")</f>
        <v>&lt;=2</v>
      </c>
    </row>
    <row r="737" spans="1:16">
      <c r="A737" s="2">
        <v>14514</v>
      </c>
      <c r="B737" s="2" t="s">
        <v>28</v>
      </c>
      <c r="C737" s="2" t="s">
        <v>17</v>
      </c>
      <c r="D737" s="6">
        <v>30000</v>
      </c>
      <c r="E737" s="2">
        <v>0</v>
      </c>
      <c r="F737" s="2" t="s">
        <v>23</v>
      </c>
      <c r="G737" s="2" t="s">
        <v>19</v>
      </c>
      <c r="H737" s="2" t="s">
        <v>20</v>
      </c>
      <c r="I737" s="2">
        <v>1</v>
      </c>
      <c r="J737" s="4" t="s">
        <v>29</v>
      </c>
      <c r="K737" s="2" t="s">
        <v>38</v>
      </c>
      <c r="L737" s="2">
        <v>26</v>
      </c>
      <c r="M737" t="str" cm="1">
        <f t="array" ref="M737">_xlfn.IFS(L737&lt;=35,"YOUNG_ADULTS",L737&lt;=55,"MIDDLE_AGED",L737&gt;55,"OLD-AGED")</f>
        <v>YOUNG_ADULTS</v>
      </c>
      <c r="O737" t="str" cm="1">
        <f t="array" ref="O737">_xlfn.IFS(D737&lt;=50000,"low income",D737&lt;=100000,"Mid income",D737&gt;100000,"High income")</f>
        <v>low income</v>
      </c>
      <c r="P737" t="str" cm="1">
        <f t="array" ref="P737">_xlfn.IFS(E737&lt;=2,"&lt;=2",E737&gt;2,"&gt;2")</f>
        <v>&lt;=2</v>
      </c>
    </row>
    <row r="738" spans="1:16">
      <c r="A738" s="2">
        <v>19634</v>
      </c>
      <c r="B738" s="2" t="s">
        <v>16</v>
      </c>
      <c r="C738" s="2" t="s">
        <v>16</v>
      </c>
      <c r="D738" s="6">
        <v>40000</v>
      </c>
      <c r="E738" s="2">
        <v>0</v>
      </c>
      <c r="F738" s="2" t="s">
        <v>33</v>
      </c>
      <c r="G738" s="2" t="s">
        <v>19</v>
      </c>
      <c r="H738" s="2" t="s">
        <v>20</v>
      </c>
      <c r="I738" s="2">
        <v>1</v>
      </c>
      <c r="J738" s="4" t="s">
        <v>29</v>
      </c>
      <c r="K738" s="2" t="s">
        <v>38</v>
      </c>
      <c r="L738" s="2">
        <v>31</v>
      </c>
      <c r="M738" t="str" cm="1">
        <f t="array" ref="M738">_xlfn.IFS(L738&lt;=35,"YOUNG_ADULTS",L738&lt;=55,"MIDDLE_AGED",L738&gt;55,"OLD-AGED")</f>
        <v>YOUNG_ADULTS</v>
      </c>
      <c r="O738" t="str" cm="1">
        <f t="array" ref="O738">_xlfn.IFS(D738&lt;=50000,"low income",D738&lt;=100000,"Mid income",D738&gt;100000,"High income")</f>
        <v>low income</v>
      </c>
      <c r="P738" t="str" cm="1">
        <f t="array" ref="P738">_xlfn.IFS(E738&lt;=2,"&lt;=2",E738&gt;2,"&gt;2")</f>
        <v>&lt;=2</v>
      </c>
    </row>
    <row r="739" spans="1:16">
      <c r="A739" s="2">
        <v>18504</v>
      </c>
      <c r="B739" s="2" t="s">
        <v>16</v>
      </c>
      <c r="C739" s="2" t="s">
        <v>16</v>
      </c>
      <c r="D739" s="6">
        <v>70000</v>
      </c>
      <c r="E739" s="2">
        <v>2</v>
      </c>
      <c r="F739" s="2" t="s">
        <v>35</v>
      </c>
      <c r="G739" s="2" t="s">
        <v>19</v>
      </c>
      <c r="H739" s="2" t="s">
        <v>26</v>
      </c>
      <c r="I739" s="2">
        <v>2</v>
      </c>
      <c r="J739" s="4" t="s">
        <v>32</v>
      </c>
      <c r="K739" s="2" t="s">
        <v>38</v>
      </c>
      <c r="L739" s="2">
        <v>49</v>
      </c>
      <c r="M739" t="str" cm="1">
        <f t="array" ref="M739">_xlfn.IFS(L739&lt;=35,"YOUNG_ADULTS",L739&lt;=55,"MIDDLE_AGED",L739&gt;55,"OLD-AGED")</f>
        <v>MIDDLE_AGED</v>
      </c>
      <c r="O739" t="str" cm="1">
        <f t="array" ref="O739">_xlfn.IFS(D739&lt;=50000,"low income",D739&lt;=100000,"Mid income",D739&gt;100000,"High income")</f>
        <v>Mid income</v>
      </c>
      <c r="P739" t="str" cm="1">
        <f t="array" ref="P739">_xlfn.IFS(E739&lt;=2,"&lt;=2",E739&gt;2,"&gt;2")</f>
        <v>&lt;=2</v>
      </c>
    </row>
    <row r="740" spans="1:16">
      <c r="A740" s="2">
        <v>28799</v>
      </c>
      <c r="B740" s="2" t="s">
        <v>28</v>
      </c>
      <c r="C740" s="2" t="s">
        <v>17</v>
      </c>
      <c r="D740" s="6">
        <v>40000</v>
      </c>
      <c r="E740" s="2">
        <v>2</v>
      </c>
      <c r="F740" s="2" t="s">
        <v>23</v>
      </c>
      <c r="G740" s="2" t="s">
        <v>24</v>
      </c>
      <c r="H740" s="2" t="s">
        <v>26</v>
      </c>
      <c r="I740" s="2">
        <v>1</v>
      </c>
      <c r="J740" s="4" t="s">
        <v>32</v>
      </c>
      <c r="K740" s="2" t="s">
        <v>38</v>
      </c>
      <c r="L740" s="2">
        <v>47</v>
      </c>
      <c r="M740" t="str" cm="1">
        <f t="array" ref="M740">_xlfn.IFS(L740&lt;=35,"YOUNG_ADULTS",L740&lt;=55,"MIDDLE_AGED",L740&gt;55,"OLD-AGED")</f>
        <v>MIDDLE_AGED</v>
      </c>
      <c r="N740" s="2" t="s">
        <v>20</v>
      </c>
      <c r="O740" t="str" cm="1">
        <f t="array" ref="O740">_xlfn.IFS(D740&lt;=50000,"low income",D740&lt;=100000,"Mid income",D740&gt;100000,"High income")</f>
        <v>low income</v>
      </c>
      <c r="P740" t="str" cm="1">
        <f t="array" ref="P740">_xlfn.IFS(E740&lt;=2,"&lt;=2",E740&gt;2,"&gt;2")</f>
        <v>&lt;=2</v>
      </c>
    </row>
    <row r="741" spans="1:16">
      <c r="A741" s="2">
        <v>11225</v>
      </c>
      <c r="B741" s="2" t="s">
        <v>16</v>
      </c>
      <c r="C741" s="2" t="s">
        <v>17</v>
      </c>
      <c r="D741" s="6">
        <v>60000</v>
      </c>
      <c r="E741" s="2">
        <v>2</v>
      </c>
      <c r="F741" s="2" t="s">
        <v>23</v>
      </c>
      <c r="G741" s="2" t="s">
        <v>25</v>
      </c>
      <c r="H741" s="2" t="s">
        <v>20</v>
      </c>
      <c r="I741" s="2">
        <v>1</v>
      </c>
      <c r="J741" s="4" t="s">
        <v>36</v>
      </c>
      <c r="K741" s="2" t="s">
        <v>38</v>
      </c>
      <c r="L741" s="2">
        <v>55</v>
      </c>
      <c r="M741" t="str" cm="1">
        <f t="array" ref="M741">_xlfn.IFS(L741&lt;=35,"YOUNG_ADULTS",L741&lt;=55,"MIDDLE_AGED",L741&gt;55,"OLD-AGED")</f>
        <v>MIDDLE_AGED</v>
      </c>
      <c r="O741" t="str" cm="1">
        <f t="array" ref="O741">_xlfn.IFS(D741&lt;=50000,"low income",D741&lt;=100000,"Mid income",D741&gt;100000,"High income")</f>
        <v>Mid income</v>
      </c>
      <c r="P741" t="str" cm="1">
        <f t="array" ref="P741">_xlfn.IFS(E741&lt;=2,"&lt;=2",E741&gt;2,"&gt;2")</f>
        <v>&lt;=2</v>
      </c>
    </row>
    <row r="742" spans="1:16">
      <c r="A742" s="2">
        <v>17657</v>
      </c>
      <c r="B742" s="2" t="s">
        <v>16</v>
      </c>
      <c r="C742" s="2" t="s">
        <v>16</v>
      </c>
      <c r="D742" s="6">
        <v>40000</v>
      </c>
      <c r="E742" s="2">
        <v>4</v>
      </c>
      <c r="F742" s="2" t="s">
        <v>23</v>
      </c>
      <c r="G742" s="2" t="s">
        <v>24</v>
      </c>
      <c r="H742" s="2" t="s">
        <v>26</v>
      </c>
      <c r="I742" s="2">
        <v>0</v>
      </c>
      <c r="J742" s="4" t="s">
        <v>21</v>
      </c>
      <c r="K742" s="2" t="s">
        <v>38</v>
      </c>
      <c r="L742" s="2">
        <v>30</v>
      </c>
      <c r="M742" t="str" cm="1">
        <f t="array" ref="M742">_xlfn.IFS(L742&lt;=35,"YOUNG_ADULTS",L742&lt;=55,"MIDDLE_AGED",L742&gt;55,"OLD-AGED")</f>
        <v>YOUNG_ADULTS</v>
      </c>
      <c r="O742" t="str" cm="1">
        <f t="array" ref="O742">_xlfn.IFS(D742&lt;=50000,"low income",D742&lt;=100000,"Mid income",D742&gt;100000,"High income")</f>
        <v>low income</v>
      </c>
      <c r="P742" t="str" cm="1">
        <f t="array" ref="P742">_xlfn.IFS(E742&lt;=2,"&lt;=2",E742&gt;2,"&gt;2")</f>
        <v>&gt;2</v>
      </c>
    </row>
    <row r="743" spans="1:16">
      <c r="A743" s="2">
        <v>14913</v>
      </c>
      <c r="B743" s="2" t="s">
        <v>16</v>
      </c>
      <c r="C743" s="2" t="s">
        <v>17</v>
      </c>
      <c r="D743" s="6">
        <v>40000</v>
      </c>
      <c r="E743" s="2">
        <v>1</v>
      </c>
      <c r="F743" s="2" t="s">
        <v>23</v>
      </c>
      <c r="G743" s="2" t="s">
        <v>24</v>
      </c>
      <c r="H743" s="2" t="s">
        <v>20</v>
      </c>
      <c r="I743" s="2">
        <v>1</v>
      </c>
      <c r="J743" s="4" t="s">
        <v>32</v>
      </c>
      <c r="K743" s="2" t="s">
        <v>38</v>
      </c>
      <c r="L743" s="2">
        <v>48</v>
      </c>
      <c r="M743" t="str" cm="1">
        <f t="array" ref="M743">_xlfn.IFS(L743&lt;=35,"YOUNG_ADULTS",L743&lt;=55,"MIDDLE_AGED",L743&gt;55,"OLD-AGED")</f>
        <v>MIDDLE_AGED</v>
      </c>
      <c r="N743" s="2" t="s">
        <v>20</v>
      </c>
      <c r="O743" t="str" cm="1">
        <f t="array" ref="O743">_xlfn.IFS(D743&lt;=50000,"low income",D743&lt;=100000,"Mid income",D743&gt;100000,"High income")</f>
        <v>low income</v>
      </c>
      <c r="P743" t="str" cm="1">
        <f t="array" ref="P743">_xlfn.IFS(E743&lt;=2,"&lt;=2",E743&gt;2,"&gt;2")</f>
        <v>&lt;=2</v>
      </c>
    </row>
    <row r="744" spans="1:16">
      <c r="A744" s="2">
        <v>14077</v>
      </c>
      <c r="B744" s="2" t="s">
        <v>28</v>
      </c>
      <c r="C744" s="2" t="s">
        <v>16</v>
      </c>
      <c r="D744" s="6">
        <v>30000</v>
      </c>
      <c r="E744" s="2">
        <v>0</v>
      </c>
      <c r="F744" s="2" t="s">
        <v>33</v>
      </c>
      <c r="G744" s="2" t="s">
        <v>19</v>
      </c>
      <c r="H744" s="2" t="s">
        <v>20</v>
      </c>
      <c r="I744" s="2">
        <v>2</v>
      </c>
      <c r="J744" s="4" t="s">
        <v>29</v>
      </c>
      <c r="K744" s="2" t="s">
        <v>38</v>
      </c>
      <c r="L744" s="2">
        <v>30</v>
      </c>
      <c r="M744" t="str" cm="1">
        <f t="array" ref="M744">_xlfn.IFS(L744&lt;=35,"YOUNG_ADULTS",L744&lt;=55,"MIDDLE_AGED",L744&gt;55,"OLD-AGED")</f>
        <v>YOUNG_ADULTS</v>
      </c>
      <c r="O744" t="str" cm="1">
        <f t="array" ref="O744">_xlfn.IFS(D744&lt;=50000,"low income",D744&lt;=100000,"Mid income",D744&gt;100000,"High income")</f>
        <v>low income</v>
      </c>
      <c r="P744" t="str" cm="1">
        <f t="array" ref="P744">_xlfn.IFS(E744&lt;=2,"&lt;=2",E744&gt;2,"&gt;2")</f>
        <v>&lt;=2</v>
      </c>
    </row>
    <row r="745" spans="1:16">
      <c r="A745" s="2">
        <v>13296</v>
      </c>
      <c r="B745" s="2" t="s">
        <v>16</v>
      </c>
      <c r="C745" s="2" t="s">
        <v>16</v>
      </c>
      <c r="D745" s="6">
        <v>110000</v>
      </c>
      <c r="E745" s="2">
        <v>1</v>
      </c>
      <c r="F745" s="2" t="s">
        <v>18</v>
      </c>
      <c r="G745" s="2" t="s">
        <v>34</v>
      </c>
      <c r="H745" s="2" t="s">
        <v>20</v>
      </c>
      <c r="I745" s="2">
        <v>3</v>
      </c>
      <c r="J745" s="4" t="s">
        <v>29</v>
      </c>
      <c r="K745" s="2" t="s">
        <v>38</v>
      </c>
      <c r="L745" s="2">
        <v>45</v>
      </c>
      <c r="M745" t="str" cm="1">
        <f t="array" ref="M745">_xlfn.IFS(L745&lt;=35,"YOUNG_ADULTS",L745&lt;=55,"MIDDLE_AGED",L745&gt;55,"OLD-AGED")</f>
        <v>MIDDLE_AGED</v>
      </c>
      <c r="O745" t="str" cm="1">
        <f t="array" ref="O745">_xlfn.IFS(D745&lt;=50000,"low income",D745&lt;=100000,"Mid income",D745&gt;100000,"High income")</f>
        <v>High income</v>
      </c>
      <c r="P745" t="str" cm="1">
        <f t="array" ref="P745">_xlfn.IFS(E745&lt;=2,"&lt;=2",E745&gt;2,"&gt;2")</f>
        <v>&lt;=2</v>
      </c>
    </row>
    <row r="746" spans="1:16">
      <c r="A746" s="2">
        <v>20535</v>
      </c>
      <c r="B746" s="2" t="s">
        <v>16</v>
      </c>
      <c r="C746" s="2" t="s">
        <v>17</v>
      </c>
      <c r="D746" s="6">
        <v>70000</v>
      </c>
      <c r="E746" s="2">
        <v>4</v>
      </c>
      <c r="F746" s="2" t="s">
        <v>23</v>
      </c>
      <c r="G746" s="2" t="s">
        <v>25</v>
      </c>
      <c r="H746" s="2" t="s">
        <v>20</v>
      </c>
      <c r="I746" s="2">
        <v>1</v>
      </c>
      <c r="J746" s="4" t="s">
        <v>36</v>
      </c>
      <c r="K746" s="2" t="s">
        <v>38</v>
      </c>
      <c r="L746" s="2">
        <v>56</v>
      </c>
      <c r="M746" t="str" cm="1">
        <f t="array" ref="M746">_xlfn.IFS(L746&lt;=35,"YOUNG_ADULTS",L746&lt;=55,"MIDDLE_AGED",L746&gt;55,"OLD-AGED")</f>
        <v>OLD-AGED</v>
      </c>
      <c r="O746" t="str" cm="1">
        <f t="array" ref="O746">_xlfn.IFS(D746&lt;=50000,"low income",D746&lt;=100000,"Mid income",D746&gt;100000,"High income")</f>
        <v>Mid income</v>
      </c>
      <c r="P746" t="str" cm="1">
        <f t="array" ref="P746">_xlfn.IFS(E746&lt;=2,"&lt;=2",E746&gt;2,"&gt;2")</f>
        <v>&gt;2</v>
      </c>
    </row>
    <row r="747" spans="1:16">
      <c r="A747" s="2">
        <v>12452</v>
      </c>
      <c r="B747" s="2" t="s">
        <v>16</v>
      </c>
      <c r="C747" s="2" t="s">
        <v>16</v>
      </c>
      <c r="D747" s="6">
        <v>60000</v>
      </c>
      <c r="E747" s="2">
        <v>4</v>
      </c>
      <c r="F747" s="2" t="s">
        <v>37</v>
      </c>
      <c r="G747" s="2" t="s">
        <v>19</v>
      </c>
      <c r="H747" s="2" t="s">
        <v>20</v>
      </c>
      <c r="I747" s="2">
        <v>0</v>
      </c>
      <c r="J747" s="4" t="s">
        <v>32</v>
      </c>
      <c r="K747" s="2" t="s">
        <v>38</v>
      </c>
      <c r="L747" s="2">
        <v>47</v>
      </c>
      <c r="M747" t="str" cm="1">
        <f t="array" ref="M747">_xlfn.IFS(L747&lt;=35,"YOUNG_ADULTS",L747&lt;=55,"MIDDLE_AGED",L747&gt;55,"OLD-AGED")</f>
        <v>MIDDLE_AGED</v>
      </c>
      <c r="N747" s="2" t="s">
        <v>20</v>
      </c>
      <c r="O747" t="str" cm="1">
        <f t="array" ref="O747">_xlfn.IFS(D747&lt;=50000,"low income",D747&lt;=100000,"Mid income",D747&gt;100000,"High income")</f>
        <v>Mid income</v>
      </c>
      <c r="P747" t="str" cm="1">
        <f t="array" ref="P747">_xlfn.IFS(E747&lt;=2,"&lt;=2",E747&gt;2,"&gt;2")</f>
        <v>&gt;2</v>
      </c>
    </row>
    <row r="748" spans="1:16">
      <c r="A748" s="2">
        <v>28043</v>
      </c>
      <c r="B748" s="2" t="s">
        <v>16</v>
      </c>
      <c r="C748" s="2" t="s">
        <v>17</v>
      </c>
      <c r="D748" s="6">
        <v>60000</v>
      </c>
      <c r="E748" s="2">
        <v>2</v>
      </c>
      <c r="F748" s="2" t="s">
        <v>18</v>
      </c>
      <c r="G748" s="2" t="s">
        <v>34</v>
      </c>
      <c r="H748" s="2" t="s">
        <v>20</v>
      </c>
      <c r="I748" s="2">
        <v>0</v>
      </c>
      <c r="J748" s="4" t="s">
        <v>36</v>
      </c>
      <c r="K748" s="2" t="s">
        <v>38</v>
      </c>
      <c r="L748" s="2">
        <v>56</v>
      </c>
      <c r="M748" t="str" cm="1">
        <f t="array" ref="M748">_xlfn.IFS(L748&lt;=35,"YOUNG_ADULTS",L748&lt;=55,"MIDDLE_AGED",L748&gt;55,"OLD-AGED")</f>
        <v>OLD-AGED</v>
      </c>
      <c r="O748" t="str" cm="1">
        <f t="array" ref="O748">_xlfn.IFS(D748&lt;=50000,"low income",D748&lt;=100000,"Mid income",D748&gt;100000,"High income")</f>
        <v>Mid income</v>
      </c>
      <c r="P748" t="str" cm="1">
        <f t="array" ref="P748">_xlfn.IFS(E748&lt;=2,"&lt;=2",E748&gt;2,"&gt;2")</f>
        <v>&lt;=2</v>
      </c>
    </row>
    <row r="749" spans="1:16">
      <c r="A749" s="2">
        <v>12957</v>
      </c>
      <c r="B749" s="2" t="s">
        <v>28</v>
      </c>
      <c r="C749" s="2" t="s">
        <v>17</v>
      </c>
      <c r="D749" s="6">
        <v>70000</v>
      </c>
      <c r="E749" s="2">
        <v>1</v>
      </c>
      <c r="F749" s="2" t="s">
        <v>18</v>
      </c>
      <c r="G749" s="2" t="s">
        <v>25</v>
      </c>
      <c r="H749" s="2" t="s">
        <v>26</v>
      </c>
      <c r="I749" s="2">
        <v>1</v>
      </c>
      <c r="J749" s="4" t="s">
        <v>21</v>
      </c>
      <c r="K749" s="2" t="s">
        <v>38</v>
      </c>
      <c r="L749" s="2">
        <v>44</v>
      </c>
      <c r="M749" t="str" cm="1">
        <f t="array" ref="M749">_xlfn.IFS(L749&lt;=35,"YOUNG_ADULTS",L749&lt;=55,"MIDDLE_AGED",L749&gt;55,"OLD-AGED")</f>
        <v>MIDDLE_AGED</v>
      </c>
      <c r="O749" t="str" cm="1">
        <f t="array" ref="O749">_xlfn.IFS(D749&lt;=50000,"low income",D749&lt;=100000,"Mid income",D749&gt;100000,"High income")</f>
        <v>Mid income</v>
      </c>
      <c r="P749" t="str" cm="1">
        <f t="array" ref="P749">_xlfn.IFS(E749&lt;=2,"&lt;=2",E749&gt;2,"&gt;2")</f>
        <v>&lt;=2</v>
      </c>
    </row>
    <row r="750" spans="1:16">
      <c r="A750" s="2">
        <v>15412</v>
      </c>
      <c r="B750" s="2" t="s">
        <v>16</v>
      </c>
      <c r="C750" s="2" t="s">
        <v>16</v>
      </c>
      <c r="D750" s="6">
        <v>130000</v>
      </c>
      <c r="E750" s="2">
        <v>2</v>
      </c>
      <c r="F750" s="2" t="s">
        <v>37</v>
      </c>
      <c r="G750" s="2" t="s">
        <v>34</v>
      </c>
      <c r="H750" s="2" t="s">
        <v>20</v>
      </c>
      <c r="I750" s="2">
        <v>3</v>
      </c>
      <c r="J750" s="4" t="s">
        <v>27</v>
      </c>
      <c r="K750" s="2" t="s">
        <v>38</v>
      </c>
      <c r="L750" s="2">
        <v>69</v>
      </c>
      <c r="M750" t="str" cm="1">
        <f t="array" ref="M750">_xlfn.IFS(L750&lt;=35,"YOUNG_ADULTS",L750&lt;=55,"MIDDLE_AGED",L750&gt;55,"OLD-AGED")</f>
        <v>OLD-AGED</v>
      </c>
      <c r="O750" t="str" cm="1">
        <f t="array" ref="O750">_xlfn.IFS(D750&lt;=50000,"low income",D750&lt;=100000,"Mid income",D750&gt;100000,"High income")</f>
        <v>High income</v>
      </c>
      <c r="P750" t="str" cm="1">
        <f t="array" ref="P750">_xlfn.IFS(E750&lt;=2,"&lt;=2",E750&gt;2,"&gt;2")</f>
        <v>&lt;=2</v>
      </c>
    </row>
    <row r="751" spans="1:16">
      <c r="A751" s="2">
        <v>20514</v>
      </c>
      <c r="B751" s="2" t="s">
        <v>16</v>
      </c>
      <c r="C751" s="2" t="s">
        <v>17</v>
      </c>
      <c r="D751" s="6">
        <v>70000</v>
      </c>
      <c r="E751" s="2">
        <v>2</v>
      </c>
      <c r="F751" s="2" t="s">
        <v>23</v>
      </c>
      <c r="G751" s="2" t="s">
        <v>25</v>
      </c>
      <c r="H751" s="2" t="s">
        <v>20</v>
      </c>
      <c r="I751" s="2">
        <v>1</v>
      </c>
      <c r="J751" s="4" t="s">
        <v>27</v>
      </c>
      <c r="K751" s="2" t="s">
        <v>38</v>
      </c>
      <c r="L751" s="2">
        <v>59</v>
      </c>
      <c r="M751" t="str" cm="1">
        <f t="array" ref="M751">_xlfn.IFS(L751&lt;=35,"YOUNG_ADULTS",L751&lt;=55,"MIDDLE_AGED",L751&gt;55,"OLD-AGED")</f>
        <v>OLD-AGED</v>
      </c>
      <c r="O751" t="str" cm="1">
        <f t="array" ref="O751">_xlfn.IFS(D751&lt;=50000,"low income",D751&lt;=100000,"Mid income",D751&gt;100000,"High income")</f>
        <v>Mid income</v>
      </c>
      <c r="P751" t="str" cm="1">
        <f t="array" ref="P751">_xlfn.IFS(E751&lt;=2,"&lt;=2",E751&gt;2,"&gt;2")</f>
        <v>&lt;=2</v>
      </c>
    </row>
    <row r="752" spans="1:16">
      <c r="A752" s="2">
        <v>20758</v>
      </c>
      <c r="B752" s="2" t="s">
        <v>16</v>
      </c>
      <c r="C752" s="2" t="s">
        <v>16</v>
      </c>
      <c r="D752" s="6">
        <v>30000</v>
      </c>
      <c r="E752" s="2">
        <v>2</v>
      </c>
      <c r="F752" s="2" t="s">
        <v>33</v>
      </c>
      <c r="G752" s="2" t="s">
        <v>19</v>
      </c>
      <c r="H752" s="2" t="s">
        <v>20</v>
      </c>
      <c r="I752" s="2">
        <v>2</v>
      </c>
      <c r="J752" s="4" t="s">
        <v>32</v>
      </c>
      <c r="K752" s="2" t="s">
        <v>38</v>
      </c>
      <c r="L752" s="2">
        <v>50</v>
      </c>
      <c r="M752" t="str" cm="1">
        <f t="array" ref="M752">_xlfn.IFS(L752&lt;=35,"YOUNG_ADULTS",L752&lt;=55,"MIDDLE_AGED",L752&gt;55,"OLD-AGED")</f>
        <v>MIDDLE_AGED</v>
      </c>
      <c r="O752" t="str" cm="1">
        <f t="array" ref="O752">_xlfn.IFS(D752&lt;=50000,"low income",D752&lt;=100000,"Mid income",D752&gt;100000,"High income")</f>
        <v>low income</v>
      </c>
      <c r="P752" t="str" cm="1">
        <f t="array" ref="P752">_xlfn.IFS(E752&lt;=2,"&lt;=2",E752&gt;2,"&gt;2")</f>
        <v>&lt;=2</v>
      </c>
    </row>
    <row r="753" spans="1:16">
      <c r="A753" s="2">
        <v>11801</v>
      </c>
      <c r="B753" s="2" t="s">
        <v>16</v>
      </c>
      <c r="C753" s="2" t="s">
        <v>16</v>
      </c>
      <c r="D753" s="6">
        <v>60000</v>
      </c>
      <c r="E753" s="2">
        <v>1</v>
      </c>
      <c r="F753" s="2" t="s">
        <v>37</v>
      </c>
      <c r="G753" s="2" t="s">
        <v>25</v>
      </c>
      <c r="H753" s="2" t="s">
        <v>20</v>
      </c>
      <c r="I753" s="2">
        <v>0</v>
      </c>
      <c r="J753" s="4" t="s">
        <v>27</v>
      </c>
      <c r="K753" s="2" t="s">
        <v>38</v>
      </c>
      <c r="L753" s="2">
        <v>36</v>
      </c>
      <c r="M753" t="str" cm="1">
        <f t="array" ref="M753">_xlfn.IFS(L753&lt;=35,"YOUNG_ADULTS",L753&lt;=55,"MIDDLE_AGED",L753&gt;55,"OLD-AGED")</f>
        <v>MIDDLE_AGED</v>
      </c>
      <c r="O753" t="str" cm="1">
        <f t="array" ref="O753">_xlfn.IFS(D753&lt;=50000,"low income",D753&lt;=100000,"Mid income",D753&gt;100000,"High income")</f>
        <v>Mid income</v>
      </c>
      <c r="P753" t="str" cm="1">
        <f t="array" ref="P753">_xlfn.IFS(E753&lt;=2,"&lt;=2",E753&gt;2,"&gt;2")</f>
        <v>&lt;=2</v>
      </c>
    </row>
    <row r="754" spans="1:16">
      <c r="A754" s="2">
        <v>22211</v>
      </c>
      <c r="B754" s="2" t="s">
        <v>16</v>
      </c>
      <c r="C754" s="2" t="s">
        <v>16</v>
      </c>
      <c r="D754" s="6">
        <v>60000</v>
      </c>
      <c r="E754" s="2">
        <v>0</v>
      </c>
      <c r="F754" s="2" t="s">
        <v>23</v>
      </c>
      <c r="G754" s="2" t="s">
        <v>25</v>
      </c>
      <c r="H754" s="2" t="s">
        <v>20</v>
      </c>
      <c r="I754" s="2">
        <v>2</v>
      </c>
      <c r="J754" s="4" t="s">
        <v>29</v>
      </c>
      <c r="K754" s="2" t="s">
        <v>38</v>
      </c>
      <c r="L754" s="2">
        <v>32</v>
      </c>
      <c r="M754" t="str" cm="1">
        <f t="array" ref="M754">_xlfn.IFS(L754&lt;=35,"YOUNG_ADULTS",L754&lt;=55,"MIDDLE_AGED",L754&gt;55,"OLD-AGED")</f>
        <v>YOUNG_ADULTS</v>
      </c>
      <c r="O754" t="str" cm="1">
        <f t="array" ref="O754">_xlfn.IFS(D754&lt;=50000,"low income",D754&lt;=100000,"Mid income",D754&gt;100000,"High income")</f>
        <v>Mid income</v>
      </c>
      <c r="P754" t="str" cm="1">
        <f t="array" ref="P754">_xlfn.IFS(E754&lt;=2,"&lt;=2",E754&gt;2,"&gt;2")</f>
        <v>&lt;=2</v>
      </c>
    </row>
    <row r="755" spans="1:16">
      <c r="A755" s="2">
        <v>28087</v>
      </c>
      <c r="B755" s="2" t="s">
        <v>28</v>
      </c>
      <c r="C755" s="2" t="s">
        <v>17</v>
      </c>
      <c r="D755" s="6">
        <v>40000</v>
      </c>
      <c r="E755" s="2">
        <v>0</v>
      </c>
      <c r="F755" s="2" t="s">
        <v>23</v>
      </c>
      <c r="G755" s="2" t="s">
        <v>19</v>
      </c>
      <c r="H755" s="2" t="s">
        <v>26</v>
      </c>
      <c r="I755" s="2">
        <v>1</v>
      </c>
      <c r="J755" s="4" t="s">
        <v>32</v>
      </c>
      <c r="K755" s="2" t="s">
        <v>38</v>
      </c>
      <c r="L755" s="2">
        <v>27</v>
      </c>
      <c r="M755" t="str" cm="1">
        <f t="array" ref="M755">_xlfn.IFS(L755&lt;=35,"YOUNG_ADULTS",L755&lt;=55,"MIDDLE_AGED",L755&gt;55,"OLD-AGED")</f>
        <v>YOUNG_ADULTS</v>
      </c>
      <c r="O755" t="str" cm="1">
        <f t="array" ref="O755">_xlfn.IFS(D755&lt;=50000,"low income",D755&lt;=100000,"Mid income",D755&gt;100000,"High income")</f>
        <v>low income</v>
      </c>
      <c r="P755" t="str" cm="1">
        <f t="array" ref="P755">_xlfn.IFS(E755&lt;=2,"&lt;=2",E755&gt;2,"&gt;2")</f>
        <v>&lt;=2</v>
      </c>
    </row>
    <row r="756" spans="1:16">
      <c r="A756" s="2">
        <v>23668</v>
      </c>
      <c r="B756" s="2" t="s">
        <v>16</v>
      </c>
      <c r="C756" s="2" t="s">
        <v>17</v>
      </c>
      <c r="D756" s="6">
        <v>40000</v>
      </c>
      <c r="E756" s="2">
        <v>4</v>
      </c>
      <c r="F756" s="2" t="s">
        <v>33</v>
      </c>
      <c r="G756" s="2" t="s">
        <v>25</v>
      </c>
      <c r="H756" s="2" t="s">
        <v>20</v>
      </c>
      <c r="I756" s="2">
        <v>2</v>
      </c>
      <c r="J756" s="4" t="s">
        <v>29</v>
      </c>
      <c r="K756" s="2" t="s">
        <v>38</v>
      </c>
      <c r="L756" s="2">
        <v>59</v>
      </c>
      <c r="M756" t="str" cm="1">
        <f t="array" ref="M756">_xlfn.IFS(L756&lt;=35,"YOUNG_ADULTS",L756&lt;=55,"MIDDLE_AGED",L756&gt;55,"OLD-AGED")</f>
        <v>OLD-AGED</v>
      </c>
      <c r="N756" s="2" t="s">
        <v>20</v>
      </c>
      <c r="O756" t="str" cm="1">
        <f t="array" ref="O756">_xlfn.IFS(D756&lt;=50000,"low income",D756&lt;=100000,"Mid income",D756&gt;100000,"High income")</f>
        <v>low income</v>
      </c>
      <c r="P756" t="str" cm="1">
        <f t="array" ref="P756">_xlfn.IFS(E756&lt;=2,"&lt;=2",E756&gt;2,"&gt;2")</f>
        <v>&gt;2</v>
      </c>
    </row>
    <row r="757" spans="1:16">
      <c r="A757" s="2">
        <v>27441</v>
      </c>
      <c r="B757" s="2" t="s">
        <v>16</v>
      </c>
      <c r="C757" s="2" t="s">
        <v>16</v>
      </c>
      <c r="D757" s="6">
        <v>60000</v>
      </c>
      <c r="E757" s="2">
        <v>3</v>
      </c>
      <c r="F757" s="2" t="s">
        <v>33</v>
      </c>
      <c r="G757" s="2" t="s">
        <v>25</v>
      </c>
      <c r="H757" s="2" t="s">
        <v>26</v>
      </c>
      <c r="I757" s="2">
        <v>2</v>
      </c>
      <c r="J757" s="4" t="s">
        <v>27</v>
      </c>
      <c r="K757" s="2" t="s">
        <v>38</v>
      </c>
      <c r="L757" s="2">
        <v>53</v>
      </c>
      <c r="M757" t="str" cm="1">
        <f t="array" ref="M757">_xlfn.IFS(L757&lt;=35,"YOUNG_ADULTS",L757&lt;=55,"MIDDLE_AGED",L757&gt;55,"OLD-AGED")</f>
        <v>MIDDLE_AGED</v>
      </c>
      <c r="O757" t="str" cm="1">
        <f t="array" ref="O757">_xlfn.IFS(D757&lt;=50000,"low income",D757&lt;=100000,"Mid income",D757&gt;100000,"High income")</f>
        <v>Mid income</v>
      </c>
      <c r="P757" t="str" cm="1">
        <f t="array" ref="P757">_xlfn.IFS(E757&lt;=2,"&lt;=2",E757&gt;2,"&gt;2")</f>
        <v>&gt;2</v>
      </c>
    </row>
    <row r="758" spans="1:16">
      <c r="A758" s="2">
        <v>27261</v>
      </c>
      <c r="B758" s="2" t="s">
        <v>16</v>
      </c>
      <c r="C758" s="2" t="s">
        <v>16</v>
      </c>
      <c r="D758" s="6">
        <v>40000</v>
      </c>
      <c r="E758" s="2">
        <v>1</v>
      </c>
      <c r="F758" s="2" t="s">
        <v>18</v>
      </c>
      <c r="G758" s="2" t="s">
        <v>19</v>
      </c>
      <c r="H758" s="2" t="s">
        <v>26</v>
      </c>
      <c r="I758" s="2">
        <v>1</v>
      </c>
      <c r="J758" s="4" t="s">
        <v>21</v>
      </c>
      <c r="K758" s="2" t="s">
        <v>38</v>
      </c>
      <c r="L758" s="2">
        <v>36</v>
      </c>
      <c r="M758" t="str" cm="1">
        <f t="array" ref="M758">_xlfn.IFS(L758&lt;=35,"YOUNG_ADULTS",L758&lt;=55,"MIDDLE_AGED",L758&gt;55,"OLD-AGED")</f>
        <v>MIDDLE_AGED</v>
      </c>
      <c r="N758" s="2" t="s">
        <v>20</v>
      </c>
      <c r="O758" t="str" cm="1">
        <f t="array" ref="O758">_xlfn.IFS(D758&lt;=50000,"low income",D758&lt;=100000,"Mid income",D758&gt;100000,"High income")</f>
        <v>low income</v>
      </c>
      <c r="P758" t="str" cm="1">
        <f t="array" ref="P758">_xlfn.IFS(E758&lt;=2,"&lt;=2",E758&gt;2,"&gt;2")</f>
        <v>&lt;=2</v>
      </c>
    </row>
    <row r="759" spans="1:16">
      <c r="A759" s="2">
        <v>18649</v>
      </c>
      <c r="B759" s="2" t="s">
        <v>28</v>
      </c>
      <c r="C759" s="2" t="s">
        <v>16</v>
      </c>
      <c r="D759" s="6">
        <v>30000</v>
      </c>
      <c r="E759" s="2">
        <v>1</v>
      </c>
      <c r="F759" s="2" t="s">
        <v>33</v>
      </c>
      <c r="G759" s="2" t="s">
        <v>24</v>
      </c>
      <c r="H759" s="2" t="s">
        <v>20</v>
      </c>
      <c r="I759" s="2">
        <v>2</v>
      </c>
      <c r="J759" s="4" t="s">
        <v>32</v>
      </c>
      <c r="K759" s="2" t="s">
        <v>38</v>
      </c>
      <c r="L759" s="2">
        <v>51</v>
      </c>
      <c r="M759" t="str" cm="1">
        <f t="array" ref="M759">_xlfn.IFS(L759&lt;=35,"YOUNG_ADULTS",L759&lt;=55,"MIDDLE_AGED",L759&gt;55,"OLD-AGED")</f>
        <v>MIDDLE_AGED</v>
      </c>
      <c r="N759" s="2" t="s">
        <v>20</v>
      </c>
      <c r="O759" t="str" cm="1">
        <f t="array" ref="O759">_xlfn.IFS(D759&lt;=50000,"low income",D759&lt;=100000,"Mid income",D759&gt;100000,"High income")</f>
        <v>low income</v>
      </c>
      <c r="P759" t="str" cm="1">
        <f t="array" ref="P759">_xlfn.IFS(E759&lt;=2,"&lt;=2",E759&gt;2,"&gt;2")</f>
        <v>&lt;=2</v>
      </c>
    </row>
    <row r="760" spans="1:16">
      <c r="A760" s="2">
        <v>21714</v>
      </c>
      <c r="B760" s="2" t="s">
        <v>28</v>
      </c>
      <c r="C760" s="2" t="s">
        <v>17</v>
      </c>
      <c r="D760" s="6">
        <v>80000</v>
      </c>
      <c r="E760" s="2">
        <v>5</v>
      </c>
      <c r="F760" s="2" t="s">
        <v>37</v>
      </c>
      <c r="G760" s="2" t="s">
        <v>19</v>
      </c>
      <c r="H760" s="2" t="s">
        <v>26</v>
      </c>
      <c r="I760" s="2">
        <v>0</v>
      </c>
      <c r="J760" s="4" t="s">
        <v>21</v>
      </c>
      <c r="K760" s="2" t="s">
        <v>38</v>
      </c>
      <c r="L760" s="2">
        <v>47</v>
      </c>
      <c r="M760" t="str" cm="1">
        <f t="array" ref="M760">_xlfn.IFS(L760&lt;=35,"YOUNG_ADULTS",L760&lt;=55,"MIDDLE_AGED",L760&gt;55,"OLD-AGED")</f>
        <v>MIDDLE_AGED</v>
      </c>
      <c r="O760" t="str" cm="1">
        <f t="array" ref="O760">_xlfn.IFS(D760&lt;=50000,"low income",D760&lt;=100000,"Mid income",D760&gt;100000,"High income")</f>
        <v>Mid income</v>
      </c>
      <c r="P760" t="str" cm="1">
        <f t="array" ref="P760">_xlfn.IFS(E760&lt;=2,"&lt;=2",E760&gt;2,"&gt;2")</f>
        <v>&gt;2</v>
      </c>
    </row>
    <row r="761" spans="1:16">
      <c r="A761" s="2">
        <v>23217</v>
      </c>
      <c r="B761" s="2" t="s">
        <v>28</v>
      </c>
      <c r="C761" s="2" t="s">
        <v>17</v>
      </c>
      <c r="D761" s="6">
        <v>60000</v>
      </c>
      <c r="E761" s="2">
        <v>3</v>
      </c>
      <c r="F761" s="2" t="s">
        <v>37</v>
      </c>
      <c r="G761" s="2" t="s">
        <v>25</v>
      </c>
      <c r="H761" s="2" t="s">
        <v>20</v>
      </c>
      <c r="I761" s="2">
        <v>0</v>
      </c>
      <c r="J761" s="4" t="s">
        <v>27</v>
      </c>
      <c r="K761" s="2" t="s">
        <v>38</v>
      </c>
      <c r="L761" s="2">
        <v>43</v>
      </c>
      <c r="M761" t="str" cm="1">
        <f t="array" ref="M761">_xlfn.IFS(L761&lt;=35,"YOUNG_ADULTS",L761&lt;=55,"MIDDLE_AGED",L761&gt;55,"OLD-AGED")</f>
        <v>MIDDLE_AGED</v>
      </c>
      <c r="N761" s="2" t="s">
        <v>20</v>
      </c>
      <c r="O761" t="str" cm="1">
        <f t="array" ref="O761">_xlfn.IFS(D761&lt;=50000,"low income",D761&lt;=100000,"Mid income",D761&gt;100000,"High income")</f>
        <v>Mid income</v>
      </c>
      <c r="P761" t="str" cm="1">
        <f t="array" ref="P761">_xlfn.IFS(E761&lt;=2,"&lt;=2",E761&gt;2,"&gt;2")</f>
        <v>&gt;2</v>
      </c>
    </row>
    <row r="762" spans="1:16">
      <c r="A762" s="2">
        <v>23797</v>
      </c>
      <c r="B762" s="2" t="s">
        <v>28</v>
      </c>
      <c r="C762" s="2" t="s">
        <v>16</v>
      </c>
      <c r="D762" s="6">
        <v>20000</v>
      </c>
      <c r="E762" s="2">
        <v>3</v>
      </c>
      <c r="F762" s="2" t="s">
        <v>35</v>
      </c>
      <c r="G762" s="2" t="s">
        <v>24</v>
      </c>
      <c r="H762" s="2" t="s">
        <v>26</v>
      </c>
      <c r="I762" s="2">
        <v>2</v>
      </c>
      <c r="J762" s="4" t="s">
        <v>21</v>
      </c>
      <c r="K762" s="2" t="s">
        <v>38</v>
      </c>
      <c r="L762" s="2">
        <v>50</v>
      </c>
      <c r="M762" t="str" cm="1">
        <f t="array" ref="M762">_xlfn.IFS(L762&lt;=35,"YOUNG_ADULTS",L762&lt;=55,"MIDDLE_AGED",L762&gt;55,"OLD-AGED")</f>
        <v>MIDDLE_AGED</v>
      </c>
      <c r="O762" t="str" cm="1">
        <f t="array" ref="O762">_xlfn.IFS(D762&lt;=50000,"low income",D762&lt;=100000,"Mid income",D762&gt;100000,"High income")</f>
        <v>low income</v>
      </c>
      <c r="P762" t="str" cm="1">
        <f t="array" ref="P762">_xlfn.IFS(E762&lt;=2,"&lt;=2",E762&gt;2,"&gt;2")</f>
        <v>&gt;2</v>
      </c>
    </row>
    <row r="763" spans="1:16">
      <c r="A763" s="2">
        <v>13216</v>
      </c>
      <c r="B763" s="2" t="s">
        <v>16</v>
      </c>
      <c r="C763" s="2" t="s">
        <v>17</v>
      </c>
      <c r="D763" s="6">
        <v>60000</v>
      </c>
      <c r="E763" s="2">
        <v>5</v>
      </c>
      <c r="F763" s="2" t="s">
        <v>18</v>
      </c>
      <c r="G763" s="2" t="s">
        <v>34</v>
      </c>
      <c r="H763" s="2" t="s">
        <v>20</v>
      </c>
      <c r="I763" s="2">
        <v>3</v>
      </c>
      <c r="J763" s="4" t="s">
        <v>36</v>
      </c>
      <c r="K763" s="2" t="s">
        <v>38</v>
      </c>
      <c r="L763" s="2">
        <v>59</v>
      </c>
      <c r="M763" t="str" cm="1">
        <f t="array" ref="M763">_xlfn.IFS(L763&lt;=35,"YOUNG_ADULTS",L763&lt;=55,"MIDDLE_AGED",L763&gt;55,"OLD-AGED")</f>
        <v>OLD-AGED</v>
      </c>
      <c r="O763" t="str" cm="1">
        <f t="array" ref="O763">_xlfn.IFS(D763&lt;=50000,"low income",D763&lt;=100000,"Mid income",D763&gt;100000,"High income")</f>
        <v>Mid income</v>
      </c>
      <c r="P763" t="str" cm="1">
        <f t="array" ref="P763">_xlfn.IFS(E763&lt;=2,"&lt;=2",E763&gt;2,"&gt;2")</f>
        <v>&gt;2</v>
      </c>
    </row>
    <row r="764" spans="1:16">
      <c r="A764" s="2">
        <v>20657</v>
      </c>
      <c r="B764" s="2" t="s">
        <v>28</v>
      </c>
      <c r="C764" s="2" t="s">
        <v>16</v>
      </c>
      <c r="D764" s="6">
        <v>50000</v>
      </c>
      <c r="E764" s="2">
        <v>2</v>
      </c>
      <c r="F764" s="2" t="s">
        <v>18</v>
      </c>
      <c r="G764" s="2" t="s">
        <v>19</v>
      </c>
      <c r="H764" s="2" t="s">
        <v>20</v>
      </c>
      <c r="I764" s="2">
        <v>0</v>
      </c>
      <c r="J764" s="4" t="s">
        <v>27</v>
      </c>
      <c r="K764" s="2" t="s">
        <v>38</v>
      </c>
      <c r="L764" s="2">
        <v>37</v>
      </c>
      <c r="M764" t="str" cm="1">
        <f t="array" ref="M764">_xlfn.IFS(L764&lt;=35,"YOUNG_ADULTS",L764&lt;=55,"MIDDLE_AGED",L764&gt;55,"OLD-AGED")</f>
        <v>MIDDLE_AGED</v>
      </c>
      <c r="N764" s="2" t="s">
        <v>20</v>
      </c>
      <c r="O764" t="str" cm="1">
        <f t="array" ref="O764">_xlfn.IFS(D764&lt;=50000,"low income",D764&lt;=100000,"Mid income",D764&gt;100000,"High income")</f>
        <v>low income</v>
      </c>
      <c r="P764" t="str" cm="1">
        <f t="array" ref="P764">_xlfn.IFS(E764&lt;=2,"&lt;=2",E764&gt;2,"&gt;2")</f>
        <v>&lt;=2</v>
      </c>
    </row>
    <row r="765" spans="1:16">
      <c r="A765" s="2">
        <v>12882</v>
      </c>
      <c r="B765" s="2" t="s">
        <v>16</v>
      </c>
      <c r="C765" s="2" t="s">
        <v>16</v>
      </c>
      <c r="D765" s="6">
        <v>50000</v>
      </c>
      <c r="E765" s="2">
        <v>1</v>
      </c>
      <c r="F765" s="2" t="s">
        <v>37</v>
      </c>
      <c r="G765" s="2" t="s">
        <v>19</v>
      </c>
      <c r="H765" s="2" t="s">
        <v>20</v>
      </c>
      <c r="I765" s="2">
        <v>0</v>
      </c>
      <c r="J765" s="4" t="s">
        <v>21</v>
      </c>
      <c r="K765" s="2" t="s">
        <v>38</v>
      </c>
      <c r="L765" s="2">
        <v>33</v>
      </c>
      <c r="M765" t="str" cm="1">
        <f t="array" ref="M765">_xlfn.IFS(L765&lt;=35,"YOUNG_ADULTS",L765&lt;=55,"MIDDLE_AGED",L765&gt;55,"OLD-AGED")</f>
        <v>YOUNG_ADULTS</v>
      </c>
      <c r="N765" s="2" t="s">
        <v>20</v>
      </c>
      <c r="O765" t="str" cm="1">
        <f t="array" ref="O765">_xlfn.IFS(D765&lt;=50000,"low income",D765&lt;=100000,"Mid income",D765&gt;100000,"High income")</f>
        <v>low income</v>
      </c>
      <c r="P765" t="str" cm="1">
        <f t="array" ref="P765">_xlfn.IFS(E765&lt;=2,"&lt;=2",E765&gt;2,"&gt;2")</f>
        <v>&lt;=2</v>
      </c>
    </row>
    <row r="766" spans="1:16">
      <c r="A766" s="2">
        <v>25908</v>
      </c>
      <c r="B766" s="2" t="s">
        <v>16</v>
      </c>
      <c r="C766" s="2" t="s">
        <v>17</v>
      </c>
      <c r="D766" s="6">
        <v>60000</v>
      </c>
      <c r="E766" s="2">
        <v>0</v>
      </c>
      <c r="F766" s="2" t="s">
        <v>23</v>
      </c>
      <c r="G766" s="2" t="s">
        <v>19</v>
      </c>
      <c r="H766" s="2" t="s">
        <v>26</v>
      </c>
      <c r="I766" s="2">
        <v>1</v>
      </c>
      <c r="J766" s="4" t="s">
        <v>32</v>
      </c>
      <c r="K766" s="2" t="s">
        <v>38</v>
      </c>
      <c r="L766" s="2">
        <v>27</v>
      </c>
      <c r="M766" t="str" cm="1">
        <f t="array" ref="M766">_xlfn.IFS(L766&lt;=35,"YOUNG_ADULTS",L766&lt;=55,"MIDDLE_AGED",L766&gt;55,"OLD-AGED")</f>
        <v>YOUNG_ADULTS</v>
      </c>
      <c r="O766" t="str" cm="1">
        <f t="array" ref="O766">_xlfn.IFS(D766&lt;=50000,"low income",D766&lt;=100000,"Mid income",D766&gt;100000,"High income")</f>
        <v>Mid income</v>
      </c>
      <c r="P766" t="str" cm="1">
        <f t="array" ref="P766">_xlfn.IFS(E766&lt;=2,"&lt;=2",E766&gt;2,"&gt;2")</f>
        <v>&lt;=2</v>
      </c>
    </row>
    <row r="767" spans="1:16">
      <c r="A767" s="2">
        <v>16753</v>
      </c>
      <c r="B767" s="2" t="s">
        <v>28</v>
      </c>
      <c r="C767" s="2" t="s">
        <v>17</v>
      </c>
      <c r="D767" s="6">
        <v>70000</v>
      </c>
      <c r="E767" s="2">
        <v>0</v>
      </c>
      <c r="F767" s="2" t="s">
        <v>23</v>
      </c>
      <c r="G767" s="2" t="s">
        <v>19</v>
      </c>
      <c r="H767" s="2" t="s">
        <v>20</v>
      </c>
      <c r="I767" s="2">
        <v>2</v>
      </c>
      <c r="J767" s="4" t="s">
        <v>29</v>
      </c>
      <c r="K767" s="2" t="s">
        <v>38</v>
      </c>
      <c r="L767" s="2">
        <v>34</v>
      </c>
      <c r="M767" t="str" cm="1">
        <f t="array" ref="M767">_xlfn.IFS(L767&lt;=35,"YOUNG_ADULTS",L767&lt;=55,"MIDDLE_AGED",L767&gt;55,"OLD-AGED")</f>
        <v>YOUNG_ADULTS</v>
      </c>
      <c r="N767" s="2" t="s">
        <v>20</v>
      </c>
      <c r="O767" t="str" cm="1">
        <f t="array" ref="O767">_xlfn.IFS(D767&lt;=50000,"low income",D767&lt;=100000,"Mid income",D767&gt;100000,"High income")</f>
        <v>Mid income</v>
      </c>
      <c r="P767" t="str" cm="1">
        <f t="array" ref="P767">_xlfn.IFS(E767&lt;=2,"&lt;=2",E767&gt;2,"&gt;2")</f>
        <v>&lt;=2</v>
      </c>
    </row>
    <row r="768" spans="1:16">
      <c r="A768" s="2">
        <v>14608</v>
      </c>
      <c r="B768" s="2" t="s">
        <v>16</v>
      </c>
      <c r="C768" s="2" t="s">
        <v>16</v>
      </c>
      <c r="D768" s="6">
        <v>50000</v>
      </c>
      <c r="E768" s="2">
        <v>4</v>
      </c>
      <c r="F768" s="2" t="s">
        <v>18</v>
      </c>
      <c r="G768" s="2" t="s">
        <v>19</v>
      </c>
      <c r="H768" s="2" t="s">
        <v>20</v>
      </c>
      <c r="I768" s="2">
        <v>3</v>
      </c>
      <c r="J768" s="4" t="s">
        <v>36</v>
      </c>
      <c r="K768" s="2" t="s">
        <v>38</v>
      </c>
      <c r="L768" s="2">
        <v>42</v>
      </c>
      <c r="M768" t="str" cm="1">
        <f t="array" ref="M768">_xlfn.IFS(L768&lt;=35,"YOUNG_ADULTS",L768&lt;=55,"MIDDLE_AGED",L768&gt;55,"OLD-AGED")</f>
        <v>MIDDLE_AGED</v>
      </c>
      <c r="O768" t="str" cm="1">
        <f t="array" ref="O768">_xlfn.IFS(D768&lt;=50000,"low income",D768&lt;=100000,"Mid income",D768&gt;100000,"High income")</f>
        <v>low income</v>
      </c>
      <c r="P768" t="str" cm="1">
        <f t="array" ref="P768">_xlfn.IFS(E768&lt;=2,"&lt;=2",E768&gt;2,"&gt;2")</f>
        <v>&gt;2</v>
      </c>
    </row>
    <row r="769" spans="1:16">
      <c r="A769" s="2">
        <v>24979</v>
      </c>
      <c r="B769" s="2" t="s">
        <v>16</v>
      </c>
      <c r="C769" s="2" t="s">
        <v>17</v>
      </c>
      <c r="D769" s="6">
        <v>60000</v>
      </c>
      <c r="E769" s="2">
        <v>2</v>
      </c>
      <c r="F769" s="2" t="s">
        <v>23</v>
      </c>
      <c r="G769" s="2" t="s">
        <v>25</v>
      </c>
      <c r="H769" s="2" t="s">
        <v>20</v>
      </c>
      <c r="I769" s="2">
        <v>2</v>
      </c>
      <c r="J769" s="4" t="s">
        <v>27</v>
      </c>
      <c r="K769" s="2" t="s">
        <v>38</v>
      </c>
      <c r="L769" s="2">
        <v>57</v>
      </c>
      <c r="M769" t="str" cm="1">
        <f t="array" ref="M769">_xlfn.IFS(L769&lt;=35,"YOUNG_ADULTS",L769&lt;=55,"MIDDLE_AGED",L769&gt;55,"OLD-AGED")</f>
        <v>OLD-AGED</v>
      </c>
      <c r="N769" s="2" t="s">
        <v>20</v>
      </c>
      <c r="O769" t="str" cm="1">
        <f t="array" ref="O769">_xlfn.IFS(D769&lt;=50000,"low income",D769&lt;=100000,"Mid income",D769&gt;100000,"High income")</f>
        <v>Mid income</v>
      </c>
      <c r="P769" t="str" cm="1">
        <f t="array" ref="P769">_xlfn.IFS(E769&lt;=2,"&lt;=2",E769&gt;2,"&gt;2")</f>
        <v>&lt;=2</v>
      </c>
    </row>
    <row r="770" spans="1:16">
      <c r="A770" s="2">
        <v>13313</v>
      </c>
      <c r="B770" s="2" t="s">
        <v>16</v>
      </c>
      <c r="C770" s="2" t="s">
        <v>17</v>
      </c>
      <c r="D770" s="6">
        <v>120000</v>
      </c>
      <c r="E770" s="2">
        <v>1</v>
      </c>
      <c r="F770" s="2" t="s">
        <v>33</v>
      </c>
      <c r="G770" s="2" t="s">
        <v>25</v>
      </c>
      <c r="H770" s="2" t="s">
        <v>26</v>
      </c>
      <c r="I770" s="2">
        <v>4</v>
      </c>
      <c r="J770" s="4" t="s">
        <v>27</v>
      </c>
      <c r="K770" s="2" t="s">
        <v>38</v>
      </c>
      <c r="L770" s="2">
        <v>45</v>
      </c>
      <c r="M770" t="str" cm="1">
        <f t="array" ref="M770">_xlfn.IFS(L770&lt;=35,"YOUNG_ADULTS",L770&lt;=55,"MIDDLE_AGED",L770&gt;55,"OLD-AGED")</f>
        <v>MIDDLE_AGED</v>
      </c>
      <c r="O770" t="str" cm="1">
        <f t="array" ref="O770">_xlfn.IFS(D770&lt;=50000,"low income",D770&lt;=100000,"Mid income",D770&gt;100000,"High income")</f>
        <v>High income</v>
      </c>
      <c r="P770" t="str" cm="1">
        <f t="array" ref="P770">_xlfn.IFS(E770&lt;=2,"&lt;=2",E770&gt;2,"&gt;2")</f>
        <v>&lt;=2</v>
      </c>
    </row>
    <row r="771" spans="1:16">
      <c r="A771" s="2">
        <v>18952</v>
      </c>
      <c r="B771" s="2" t="s">
        <v>16</v>
      </c>
      <c r="C771" s="2" t="s">
        <v>17</v>
      </c>
      <c r="D771" s="6">
        <v>100000</v>
      </c>
      <c r="E771" s="2">
        <v>4</v>
      </c>
      <c r="F771" s="2" t="s">
        <v>18</v>
      </c>
      <c r="G771" s="2" t="s">
        <v>34</v>
      </c>
      <c r="H771" s="2" t="s">
        <v>20</v>
      </c>
      <c r="I771" s="2">
        <v>4</v>
      </c>
      <c r="J771" s="4" t="s">
        <v>21</v>
      </c>
      <c r="K771" s="2" t="s">
        <v>38</v>
      </c>
      <c r="L771" s="2">
        <v>40</v>
      </c>
      <c r="M771" t="str" cm="1">
        <f t="array" ref="M771">_xlfn.IFS(L771&lt;=35,"YOUNG_ADULTS",L771&lt;=55,"MIDDLE_AGED",L771&gt;55,"OLD-AGED")</f>
        <v>MIDDLE_AGED</v>
      </c>
      <c r="O771" t="str" cm="1">
        <f t="array" ref="O771">_xlfn.IFS(D771&lt;=50000,"low income",D771&lt;=100000,"Mid income",D771&gt;100000,"High income")</f>
        <v>Mid income</v>
      </c>
      <c r="P771" t="str" cm="1">
        <f t="array" ref="P771">_xlfn.IFS(E771&lt;=2,"&lt;=2",E771&gt;2,"&gt;2")</f>
        <v>&gt;2</v>
      </c>
    </row>
    <row r="772" spans="1:16">
      <c r="A772" s="2">
        <v>17699</v>
      </c>
      <c r="B772" s="2" t="s">
        <v>16</v>
      </c>
      <c r="C772" s="2" t="s">
        <v>16</v>
      </c>
      <c r="D772" s="6">
        <v>60000</v>
      </c>
      <c r="E772" s="2">
        <v>1</v>
      </c>
      <c r="F772" s="2" t="s">
        <v>37</v>
      </c>
      <c r="G772" s="2" t="s">
        <v>19</v>
      </c>
      <c r="H772" s="2" t="s">
        <v>26</v>
      </c>
      <c r="I772" s="2">
        <v>0</v>
      </c>
      <c r="J772" s="4" t="s">
        <v>21</v>
      </c>
      <c r="K772" s="2" t="s">
        <v>38</v>
      </c>
      <c r="L772" s="2">
        <v>55</v>
      </c>
      <c r="M772" t="str" cm="1">
        <f t="array" ref="M772">_xlfn.IFS(L772&lt;=35,"YOUNG_ADULTS",L772&lt;=55,"MIDDLE_AGED",L772&gt;55,"OLD-AGED")</f>
        <v>MIDDLE_AGED</v>
      </c>
      <c r="O772" t="str" cm="1">
        <f t="array" ref="O772">_xlfn.IFS(D772&lt;=50000,"low income",D772&lt;=100000,"Mid income",D772&gt;100000,"High income")</f>
        <v>Mid income</v>
      </c>
      <c r="P772" t="str" cm="1">
        <f t="array" ref="P772">_xlfn.IFS(E772&lt;=2,"&lt;=2",E772&gt;2,"&gt;2")</f>
        <v>&lt;=2</v>
      </c>
    </row>
    <row r="773" spans="1:16">
      <c r="A773" s="2">
        <v>14657</v>
      </c>
      <c r="B773" s="2" t="s">
        <v>16</v>
      </c>
      <c r="C773" s="2" t="s">
        <v>16</v>
      </c>
      <c r="D773" s="6">
        <v>80000</v>
      </c>
      <c r="E773" s="2">
        <v>1</v>
      </c>
      <c r="F773" s="2" t="s">
        <v>23</v>
      </c>
      <c r="G773" s="2" t="s">
        <v>19</v>
      </c>
      <c r="H773" s="2" t="s">
        <v>26</v>
      </c>
      <c r="I773" s="2">
        <v>1</v>
      </c>
      <c r="J773" s="4" t="s">
        <v>21</v>
      </c>
      <c r="K773" s="2" t="s">
        <v>38</v>
      </c>
      <c r="L773" s="2">
        <v>47</v>
      </c>
      <c r="M773" t="str" cm="1">
        <f t="array" ref="M773">_xlfn.IFS(L773&lt;=35,"YOUNG_ADULTS",L773&lt;=55,"MIDDLE_AGED",L773&gt;55,"OLD-AGED")</f>
        <v>MIDDLE_AGED</v>
      </c>
      <c r="N773" s="2" t="s">
        <v>20</v>
      </c>
      <c r="O773" t="str" cm="1">
        <f t="array" ref="O773">_xlfn.IFS(D773&lt;=50000,"low income",D773&lt;=100000,"Mid income",D773&gt;100000,"High income")</f>
        <v>Mid income</v>
      </c>
      <c r="P773" t="str" cm="1">
        <f t="array" ref="P773">_xlfn.IFS(E773&lt;=2,"&lt;=2",E773&gt;2,"&gt;2")</f>
        <v>&lt;=2</v>
      </c>
    </row>
    <row r="774" spans="1:16">
      <c r="A774" s="2">
        <v>11540</v>
      </c>
      <c r="B774" s="2" t="s">
        <v>28</v>
      </c>
      <c r="C774" s="2" t="s">
        <v>16</v>
      </c>
      <c r="D774" s="6">
        <v>60000</v>
      </c>
      <c r="E774" s="2">
        <v>4</v>
      </c>
      <c r="F774" s="2" t="s">
        <v>37</v>
      </c>
      <c r="G774" s="2" t="s">
        <v>19</v>
      </c>
      <c r="H774" s="2" t="s">
        <v>20</v>
      </c>
      <c r="I774" s="2">
        <v>0</v>
      </c>
      <c r="J774" s="4" t="s">
        <v>32</v>
      </c>
      <c r="K774" s="2" t="s">
        <v>38</v>
      </c>
      <c r="L774" s="2">
        <v>47</v>
      </c>
      <c r="M774" t="str" cm="1">
        <f t="array" ref="M774">_xlfn.IFS(L774&lt;=35,"YOUNG_ADULTS",L774&lt;=55,"MIDDLE_AGED",L774&gt;55,"OLD-AGED")</f>
        <v>MIDDLE_AGED</v>
      </c>
      <c r="N774" s="2" t="s">
        <v>20</v>
      </c>
      <c r="O774" t="str" cm="1">
        <f t="array" ref="O774">_xlfn.IFS(D774&lt;=50000,"low income",D774&lt;=100000,"Mid income",D774&gt;100000,"High income")</f>
        <v>Mid income</v>
      </c>
      <c r="P774" t="str" cm="1">
        <f t="array" ref="P774">_xlfn.IFS(E774&lt;=2,"&lt;=2",E774&gt;2,"&gt;2")</f>
        <v>&gt;2</v>
      </c>
    </row>
    <row r="775" spans="1:16">
      <c r="A775" s="2">
        <v>11783</v>
      </c>
      <c r="B775" s="2" t="s">
        <v>16</v>
      </c>
      <c r="C775" s="2" t="s">
        <v>17</v>
      </c>
      <c r="D775" s="6">
        <v>60000</v>
      </c>
      <c r="E775" s="2">
        <v>1</v>
      </c>
      <c r="F775" s="2" t="s">
        <v>37</v>
      </c>
      <c r="G775" s="2" t="s">
        <v>19</v>
      </c>
      <c r="H775" s="2" t="s">
        <v>20</v>
      </c>
      <c r="I775" s="2">
        <v>0</v>
      </c>
      <c r="J775" s="4" t="s">
        <v>21</v>
      </c>
      <c r="K775" s="2" t="s">
        <v>38</v>
      </c>
      <c r="L775" s="2">
        <v>34</v>
      </c>
      <c r="M775" t="str" cm="1">
        <f t="array" ref="M775">_xlfn.IFS(L775&lt;=35,"YOUNG_ADULTS",L775&lt;=55,"MIDDLE_AGED",L775&gt;55,"OLD-AGED")</f>
        <v>YOUNG_ADULTS</v>
      </c>
      <c r="O775" t="str" cm="1">
        <f t="array" ref="O775">_xlfn.IFS(D775&lt;=50000,"low income",D775&lt;=100000,"Mid income",D775&gt;100000,"High income")</f>
        <v>Mid income</v>
      </c>
      <c r="P775" t="str" cm="1">
        <f t="array" ref="P775">_xlfn.IFS(E775&lt;=2,"&lt;=2",E775&gt;2,"&gt;2")</f>
        <v>&lt;=2</v>
      </c>
    </row>
    <row r="776" spans="1:16">
      <c r="A776" s="2">
        <v>14602</v>
      </c>
      <c r="B776" s="2" t="s">
        <v>16</v>
      </c>
      <c r="C776" s="2" t="s">
        <v>17</v>
      </c>
      <c r="D776" s="6">
        <v>80000</v>
      </c>
      <c r="E776" s="2">
        <v>3</v>
      </c>
      <c r="F776" s="2" t="s">
        <v>37</v>
      </c>
      <c r="G776" s="2" t="s">
        <v>25</v>
      </c>
      <c r="H776" s="2" t="s">
        <v>20</v>
      </c>
      <c r="I776" s="2">
        <v>0</v>
      </c>
      <c r="J776" s="4" t="s">
        <v>21</v>
      </c>
      <c r="K776" s="2" t="s">
        <v>38</v>
      </c>
      <c r="L776" s="2">
        <v>36</v>
      </c>
      <c r="M776" t="str" cm="1">
        <f t="array" ref="M776">_xlfn.IFS(L776&lt;=35,"YOUNG_ADULTS",L776&lt;=55,"MIDDLE_AGED",L776&gt;55,"OLD-AGED")</f>
        <v>MIDDLE_AGED</v>
      </c>
      <c r="N776" s="2" t="s">
        <v>20</v>
      </c>
      <c r="O776" t="str" cm="1">
        <f t="array" ref="O776">_xlfn.IFS(D776&lt;=50000,"low income",D776&lt;=100000,"Mid income",D776&gt;100000,"High income")</f>
        <v>Mid income</v>
      </c>
      <c r="P776" t="str" cm="1">
        <f t="array" ref="P776">_xlfn.IFS(E776&lt;=2,"&lt;=2",E776&gt;2,"&gt;2")</f>
        <v>&gt;2</v>
      </c>
    </row>
    <row r="777" spans="1:16">
      <c r="A777" s="2">
        <v>29030</v>
      </c>
      <c r="B777" s="2" t="s">
        <v>16</v>
      </c>
      <c r="C777" s="2" t="s">
        <v>16</v>
      </c>
      <c r="D777" s="6">
        <v>70000</v>
      </c>
      <c r="E777" s="2">
        <v>2</v>
      </c>
      <c r="F777" s="2" t="s">
        <v>35</v>
      </c>
      <c r="G777" s="2" t="s">
        <v>19</v>
      </c>
      <c r="H777" s="2" t="s">
        <v>20</v>
      </c>
      <c r="I777" s="2">
        <v>2</v>
      </c>
      <c r="J777" s="4" t="s">
        <v>36</v>
      </c>
      <c r="K777" s="2" t="s">
        <v>38</v>
      </c>
      <c r="L777" s="2">
        <v>54</v>
      </c>
      <c r="M777" t="str" cm="1">
        <f t="array" ref="M777">_xlfn.IFS(L777&lt;=35,"YOUNG_ADULTS",L777&lt;=55,"MIDDLE_AGED",L777&gt;55,"OLD-AGED")</f>
        <v>MIDDLE_AGED</v>
      </c>
      <c r="O777" t="str" cm="1">
        <f t="array" ref="O777">_xlfn.IFS(D777&lt;=50000,"low income",D777&lt;=100000,"Mid income",D777&gt;100000,"High income")</f>
        <v>Mid income</v>
      </c>
      <c r="P777" t="str" cm="1">
        <f t="array" ref="P777">_xlfn.IFS(E777&lt;=2,"&lt;=2",E777&gt;2,"&gt;2")</f>
        <v>&lt;=2</v>
      </c>
    </row>
    <row r="778" spans="1:16">
      <c r="A778" s="2">
        <v>26490</v>
      </c>
      <c r="B778" s="2" t="s">
        <v>28</v>
      </c>
      <c r="C778" s="2" t="s">
        <v>16</v>
      </c>
      <c r="D778" s="6">
        <v>70000</v>
      </c>
      <c r="E778" s="2">
        <v>2</v>
      </c>
      <c r="F778" s="2" t="s">
        <v>18</v>
      </c>
      <c r="G778" s="2" t="s">
        <v>34</v>
      </c>
      <c r="H778" s="2" t="s">
        <v>26</v>
      </c>
      <c r="I778" s="2">
        <v>1</v>
      </c>
      <c r="J778" s="4" t="s">
        <v>27</v>
      </c>
      <c r="K778" s="2" t="s">
        <v>38</v>
      </c>
      <c r="L778" s="2">
        <v>59</v>
      </c>
      <c r="M778" t="str" cm="1">
        <f t="array" ref="M778">_xlfn.IFS(L778&lt;=35,"YOUNG_ADULTS",L778&lt;=55,"MIDDLE_AGED",L778&gt;55,"OLD-AGED")</f>
        <v>OLD-AGED</v>
      </c>
      <c r="N778" s="2" t="s">
        <v>20</v>
      </c>
      <c r="O778" t="str" cm="1">
        <f t="array" ref="O778">_xlfn.IFS(D778&lt;=50000,"low income",D778&lt;=100000,"Mid income",D778&gt;100000,"High income")</f>
        <v>Mid income</v>
      </c>
      <c r="P778" t="str" cm="1">
        <f t="array" ref="P778">_xlfn.IFS(E778&lt;=2,"&lt;=2",E778&gt;2,"&gt;2")</f>
        <v>&lt;=2</v>
      </c>
    </row>
    <row r="779" spans="1:16">
      <c r="A779" s="2">
        <v>13151</v>
      </c>
      <c r="B779" s="2" t="s">
        <v>28</v>
      </c>
      <c r="C779" s="2" t="s">
        <v>16</v>
      </c>
      <c r="D779" s="6">
        <v>40000</v>
      </c>
      <c r="E779" s="2">
        <v>0</v>
      </c>
      <c r="F779" s="2" t="s">
        <v>33</v>
      </c>
      <c r="G779" s="2" t="s">
        <v>19</v>
      </c>
      <c r="H779" s="2" t="s">
        <v>20</v>
      </c>
      <c r="I779" s="2">
        <v>2</v>
      </c>
      <c r="J779" s="4" t="s">
        <v>29</v>
      </c>
      <c r="K779" s="2" t="s">
        <v>38</v>
      </c>
      <c r="L779" s="2">
        <v>27</v>
      </c>
      <c r="M779" t="str" cm="1">
        <f t="array" ref="M779">_xlfn.IFS(L779&lt;=35,"YOUNG_ADULTS",L779&lt;=55,"MIDDLE_AGED",L779&gt;55,"OLD-AGED")</f>
        <v>YOUNG_ADULTS</v>
      </c>
      <c r="O779" t="str" cm="1">
        <f t="array" ref="O779">_xlfn.IFS(D779&lt;=50000,"low income",D779&lt;=100000,"Mid income",D779&gt;100000,"High income")</f>
        <v>low income</v>
      </c>
      <c r="P779" t="str" cm="1">
        <f t="array" ref="P779">_xlfn.IFS(E779&lt;=2,"&lt;=2",E779&gt;2,"&gt;2")</f>
        <v>&lt;=2</v>
      </c>
    </row>
    <row r="780" spans="1:16">
      <c r="A780" s="2">
        <v>17260</v>
      </c>
      <c r="B780" s="2" t="s">
        <v>16</v>
      </c>
      <c r="C780" s="2" t="s">
        <v>16</v>
      </c>
      <c r="D780" s="6">
        <v>90000</v>
      </c>
      <c r="E780" s="2">
        <v>5</v>
      </c>
      <c r="F780" s="2" t="s">
        <v>23</v>
      </c>
      <c r="G780" s="2" t="s">
        <v>25</v>
      </c>
      <c r="H780" s="2" t="s">
        <v>20</v>
      </c>
      <c r="I780" s="2">
        <v>3</v>
      </c>
      <c r="J780" s="4" t="s">
        <v>21</v>
      </c>
      <c r="K780" s="2" t="s">
        <v>38</v>
      </c>
      <c r="L780" s="2">
        <v>41</v>
      </c>
      <c r="M780" t="str" cm="1">
        <f t="array" ref="M780">_xlfn.IFS(L780&lt;=35,"YOUNG_ADULTS",L780&lt;=55,"MIDDLE_AGED",L780&gt;55,"OLD-AGED")</f>
        <v>MIDDLE_AGED</v>
      </c>
      <c r="O780" t="str" cm="1">
        <f t="array" ref="O780">_xlfn.IFS(D780&lt;=50000,"low income",D780&lt;=100000,"Mid income",D780&gt;100000,"High income")</f>
        <v>Mid income</v>
      </c>
      <c r="P780" t="str" cm="1">
        <f t="array" ref="P780">_xlfn.IFS(E780&lt;=2,"&lt;=2",E780&gt;2,"&gt;2")</f>
        <v>&gt;2</v>
      </c>
    </row>
    <row r="781" spans="1:16">
      <c r="A781" s="2">
        <v>15372</v>
      </c>
      <c r="B781" s="2" t="s">
        <v>16</v>
      </c>
      <c r="C781" s="2" t="s">
        <v>16</v>
      </c>
      <c r="D781" s="6">
        <v>80000</v>
      </c>
      <c r="E781" s="2">
        <v>3</v>
      </c>
      <c r="F781" s="2" t="s">
        <v>23</v>
      </c>
      <c r="G781" s="2" t="s">
        <v>25</v>
      </c>
      <c r="H781" s="2" t="s">
        <v>26</v>
      </c>
      <c r="I781" s="2">
        <v>2</v>
      </c>
      <c r="J781" s="4" t="s">
        <v>27</v>
      </c>
      <c r="K781" s="2" t="s">
        <v>38</v>
      </c>
      <c r="L781" s="2">
        <v>50</v>
      </c>
      <c r="M781" t="str" cm="1">
        <f t="array" ref="M781">_xlfn.IFS(L781&lt;=35,"YOUNG_ADULTS",L781&lt;=55,"MIDDLE_AGED",L781&gt;55,"OLD-AGED")</f>
        <v>MIDDLE_AGED</v>
      </c>
      <c r="N781" s="2" t="s">
        <v>20</v>
      </c>
      <c r="O781" t="str" cm="1">
        <f t="array" ref="O781">_xlfn.IFS(D781&lt;=50000,"low income",D781&lt;=100000,"Mid income",D781&gt;100000,"High income")</f>
        <v>Mid income</v>
      </c>
      <c r="P781" t="str" cm="1">
        <f t="array" ref="P781">_xlfn.IFS(E781&lt;=2,"&lt;=2",E781&gt;2,"&gt;2")</f>
        <v>&gt;2</v>
      </c>
    </row>
    <row r="782" spans="1:16">
      <c r="A782" s="2">
        <v>18105</v>
      </c>
      <c r="B782" s="2" t="s">
        <v>16</v>
      </c>
      <c r="C782" s="2" t="s">
        <v>17</v>
      </c>
      <c r="D782" s="6">
        <v>60000</v>
      </c>
      <c r="E782" s="2">
        <v>2</v>
      </c>
      <c r="F782" s="2" t="s">
        <v>23</v>
      </c>
      <c r="G782" s="2" t="s">
        <v>25</v>
      </c>
      <c r="H782" s="2" t="s">
        <v>20</v>
      </c>
      <c r="I782" s="2">
        <v>1</v>
      </c>
      <c r="J782" s="4" t="s">
        <v>36</v>
      </c>
      <c r="K782" s="2" t="s">
        <v>38</v>
      </c>
      <c r="L782" s="2">
        <v>55</v>
      </c>
      <c r="M782" t="str" cm="1">
        <f t="array" ref="M782">_xlfn.IFS(L782&lt;=35,"YOUNG_ADULTS",L782&lt;=55,"MIDDLE_AGED",L782&gt;55,"OLD-AGED")</f>
        <v>MIDDLE_AGED</v>
      </c>
      <c r="O782" t="str" cm="1">
        <f t="array" ref="O782">_xlfn.IFS(D782&lt;=50000,"low income",D782&lt;=100000,"Mid income",D782&gt;100000,"High income")</f>
        <v>Mid income</v>
      </c>
      <c r="P782" t="str" cm="1">
        <f t="array" ref="P782">_xlfn.IFS(E782&lt;=2,"&lt;=2",E782&gt;2,"&gt;2")</f>
        <v>&lt;=2</v>
      </c>
    </row>
    <row r="783" spans="1:16">
      <c r="A783" s="2">
        <v>19660</v>
      </c>
      <c r="B783" s="2" t="s">
        <v>16</v>
      </c>
      <c r="C783" s="2" t="s">
        <v>16</v>
      </c>
      <c r="D783" s="6">
        <v>80000</v>
      </c>
      <c r="E783" s="2">
        <v>4</v>
      </c>
      <c r="F783" s="2" t="s">
        <v>18</v>
      </c>
      <c r="G783" s="2" t="s">
        <v>34</v>
      </c>
      <c r="H783" s="2" t="s">
        <v>20</v>
      </c>
      <c r="I783" s="2">
        <v>0</v>
      </c>
      <c r="J783" s="4" t="s">
        <v>21</v>
      </c>
      <c r="K783" s="2" t="s">
        <v>38</v>
      </c>
      <c r="L783" s="2">
        <v>43</v>
      </c>
      <c r="M783" t="str" cm="1">
        <f t="array" ref="M783">_xlfn.IFS(L783&lt;=35,"YOUNG_ADULTS",L783&lt;=55,"MIDDLE_AGED",L783&gt;55,"OLD-AGED")</f>
        <v>MIDDLE_AGED</v>
      </c>
      <c r="O783" t="str" cm="1">
        <f t="array" ref="O783">_xlfn.IFS(D783&lt;=50000,"low income",D783&lt;=100000,"Mid income",D783&gt;100000,"High income")</f>
        <v>Mid income</v>
      </c>
      <c r="P783" t="str" cm="1">
        <f t="array" ref="P783">_xlfn.IFS(E783&lt;=2,"&lt;=2",E783&gt;2,"&gt;2")</f>
        <v>&gt;2</v>
      </c>
    </row>
    <row r="784" spans="1:16">
      <c r="A784" s="2">
        <v>16112</v>
      </c>
      <c r="B784" s="2" t="s">
        <v>28</v>
      </c>
      <c r="C784" s="2" t="s">
        <v>16</v>
      </c>
      <c r="D784" s="6">
        <v>70000</v>
      </c>
      <c r="E784" s="2">
        <v>4</v>
      </c>
      <c r="F784" s="2" t="s">
        <v>18</v>
      </c>
      <c r="G784" s="2" t="s">
        <v>25</v>
      </c>
      <c r="H784" s="2" t="s">
        <v>20</v>
      </c>
      <c r="I784" s="2">
        <v>2</v>
      </c>
      <c r="J784" s="4" t="s">
        <v>27</v>
      </c>
      <c r="K784" s="2" t="s">
        <v>38</v>
      </c>
      <c r="L784" s="2">
        <v>43</v>
      </c>
      <c r="M784" t="str" cm="1">
        <f t="array" ref="M784">_xlfn.IFS(L784&lt;=35,"YOUNG_ADULTS",L784&lt;=55,"MIDDLE_AGED",L784&gt;55,"OLD-AGED")</f>
        <v>MIDDLE_AGED</v>
      </c>
      <c r="N784" s="2" t="s">
        <v>20</v>
      </c>
      <c r="O784" t="str" cm="1">
        <f t="array" ref="O784">_xlfn.IFS(D784&lt;=50000,"low income",D784&lt;=100000,"Mid income",D784&gt;100000,"High income")</f>
        <v>Mid income</v>
      </c>
      <c r="P784" t="str" cm="1">
        <f t="array" ref="P784">_xlfn.IFS(E784&lt;=2,"&lt;=2",E784&gt;2,"&gt;2")</f>
        <v>&gt;2</v>
      </c>
    </row>
    <row r="785" spans="1:16">
      <c r="A785" s="2">
        <v>20698</v>
      </c>
      <c r="B785" s="2" t="s">
        <v>16</v>
      </c>
      <c r="C785" s="2" t="s">
        <v>16</v>
      </c>
      <c r="D785" s="6">
        <v>60000</v>
      </c>
      <c r="E785" s="2">
        <v>4</v>
      </c>
      <c r="F785" s="2" t="s">
        <v>18</v>
      </c>
      <c r="G785" s="2" t="s">
        <v>19</v>
      </c>
      <c r="H785" s="2" t="s">
        <v>20</v>
      </c>
      <c r="I785" s="2">
        <v>3</v>
      </c>
      <c r="J785" s="4" t="s">
        <v>29</v>
      </c>
      <c r="K785" s="2" t="s">
        <v>38</v>
      </c>
      <c r="L785" s="2">
        <v>42</v>
      </c>
      <c r="M785" t="str" cm="1">
        <f t="array" ref="M785">_xlfn.IFS(L785&lt;=35,"YOUNG_ADULTS",L785&lt;=55,"MIDDLE_AGED",L785&gt;55,"OLD-AGED")</f>
        <v>MIDDLE_AGED</v>
      </c>
      <c r="O785" t="str" cm="1">
        <f t="array" ref="O785">_xlfn.IFS(D785&lt;=50000,"low income",D785&lt;=100000,"Mid income",D785&gt;100000,"High income")</f>
        <v>Mid income</v>
      </c>
      <c r="P785" t="str" cm="1">
        <f t="array" ref="P785">_xlfn.IFS(E785&lt;=2,"&lt;=2",E785&gt;2,"&gt;2")</f>
        <v>&gt;2</v>
      </c>
    </row>
    <row r="786" spans="1:16">
      <c r="A786" s="2">
        <v>20076</v>
      </c>
      <c r="B786" s="2" t="s">
        <v>28</v>
      </c>
      <c r="C786" s="2" t="s">
        <v>17</v>
      </c>
      <c r="D786" s="6">
        <v>10000</v>
      </c>
      <c r="E786" s="2">
        <v>2</v>
      </c>
      <c r="F786" s="2" t="s">
        <v>33</v>
      </c>
      <c r="G786" s="2" t="s">
        <v>31</v>
      </c>
      <c r="H786" s="2" t="s">
        <v>20</v>
      </c>
      <c r="I786" s="2">
        <v>2</v>
      </c>
      <c r="J786" s="4" t="s">
        <v>32</v>
      </c>
      <c r="K786" s="2" t="s">
        <v>38</v>
      </c>
      <c r="L786" s="2">
        <v>53</v>
      </c>
      <c r="M786" t="str" cm="1">
        <f t="array" ref="M786">_xlfn.IFS(L786&lt;=35,"YOUNG_ADULTS",L786&lt;=55,"MIDDLE_AGED",L786&gt;55,"OLD-AGED")</f>
        <v>MIDDLE_AGED</v>
      </c>
      <c r="N786" s="2" t="s">
        <v>20</v>
      </c>
      <c r="O786" t="str" cm="1">
        <f t="array" ref="O786">_xlfn.IFS(D786&lt;=50000,"low income",D786&lt;=100000,"Mid income",D786&gt;100000,"High income")</f>
        <v>low income</v>
      </c>
      <c r="P786" t="str" cm="1">
        <f t="array" ref="P786">_xlfn.IFS(E786&lt;=2,"&lt;=2",E786&gt;2,"&gt;2")</f>
        <v>&lt;=2</v>
      </c>
    </row>
    <row r="787" spans="1:16">
      <c r="A787" s="2">
        <v>24496</v>
      </c>
      <c r="B787" s="2" t="s">
        <v>28</v>
      </c>
      <c r="C787" s="2" t="s">
        <v>17</v>
      </c>
      <c r="D787" s="6">
        <v>40000</v>
      </c>
      <c r="E787" s="2">
        <v>0</v>
      </c>
      <c r="F787" s="2" t="s">
        <v>33</v>
      </c>
      <c r="G787" s="2" t="s">
        <v>19</v>
      </c>
      <c r="H787" s="2" t="s">
        <v>26</v>
      </c>
      <c r="I787" s="2">
        <v>2</v>
      </c>
      <c r="J787" s="4" t="s">
        <v>21</v>
      </c>
      <c r="K787" s="2" t="s">
        <v>38</v>
      </c>
      <c r="L787" s="2">
        <v>28</v>
      </c>
      <c r="M787" t="str" cm="1">
        <f t="array" ref="M787">_xlfn.IFS(L787&lt;=35,"YOUNG_ADULTS",L787&lt;=55,"MIDDLE_AGED",L787&gt;55,"OLD-AGED")</f>
        <v>YOUNG_ADULTS</v>
      </c>
      <c r="N787" s="2" t="s">
        <v>20</v>
      </c>
      <c r="O787" t="str" cm="1">
        <f t="array" ref="O787">_xlfn.IFS(D787&lt;=50000,"low income",D787&lt;=100000,"Mid income",D787&gt;100000,"High income")</f>
        <v>low income</v>
      </c>
      <c r="P787" t="str" cm="1">
        <f t="array" ref="P787">_xlfn.IFS(E787&lt;=2,"&lt;=2",E787&gt;2,"&gt;2")</f>
        <v>&lt;=2</v>
      </c>
    </row>
    <row r="788" spans="1:16">
      <c r="A788" s="2">
        <v>15468</v>
      </c>
      <c r="B788" s="2" t="s">
        <v>16</v>
      </c>
      <c r="C788" s="2" t="s">
        <v>17</v>
      </c>
      <c r="D788" s="6">
        <v>50000</v>
      </c>
      <c r="E788" s="2">
        <v>1</v>
      </c>
      <c r="F788" s="2" t="s">
        <v>18</v>
      </c>
      <c r="G788" s="2" t="s">
        <v>19</v>
      </c>
      <c r="H788" s="2" t="s">
        <v>20</v>
      </c>
      <c r="I788" s="2">
        <v>1</v>
      </c>
      <c r="J788" s="4" t="s">
        <v>21</v>
      </c>
      <c r="K788" s="2" t="s">
        <v>38</v>
      </c>
      <c r="L788" s="2">
        <v>35</v>
      </c>
      <c r="M788" t="str" cm="1">
        <f t="array" ref="M788">_xlfn.IFS(L788&lt;=35,"YOUNG_ADULTS",L788&lt;=55,"MIDDLE_AGED",L788&gt;55,"OLD-AGED")</f>
        <v>YOUNG_ADULTS</v>
      </c>
      <c r="O788" t="str" cm="1">
        <f t="array" ref="O788">_xlfn.IFS(D788&lt;=50000,"low income",D788&lt;=100000,"Mid income",D788&gt;100000,"High income")</f>
        <v>low income</v>
      </c>
      <c r="P788" t="str" cm="1">
        <f t="array" ref="P788">_xlfn.IFS(E788&lt;=2,"&lt;=2",E788&gt;2,"&gt;2")</f>
        <v>&lt;=2</v>
      </c>
    </row>
    <row r="789" spans="1:16">
      <c r="A789" s="2">
        <v>28031</v>
      </c>
      <c r="B789" s="2" t="s">
        <v>28</v>
      </c>
      <c r="C789" s="2" t="s">
        <v>17</v>
      </c>
      <c r="D789" s="6">
        <v>70000</v>
      </c>
      <c r="E789" s="2">
        <v>2</v>
      </c>
      <c r="F789" s="2" t="s">
        <v>18</v>
      </c>
      <c r="G789" s="2" t="s">
        <v>34</v>
      </c>
      <c r="H789" s="2" t="s">
        <v>26</v>
      </c>
      <c r="I789" s="2">
        <v>1</v>
      </c>
      <c r="J789" s="4" t="s">
        <v>27</v>
      </c>
      <c r="K789" s="2" t="s">
        <v>38</v>
      </c>
      <c r="L789" s="2">
        <v>59</v>
      </c>
      <c r="M789" t="str" cm="1">
        <f t="array" ref="M789">_xlfn.IFS(L789&lt;=35,"YOUNG_ADULTS",L789&lt;=55,"MIDDLE_AGED",L789&gt;55,"OLD-AGED")</f>
        <v>OLD-AGED</v>
      </c>
      <c r="N789" s="2" t="s">
        <v>20</v>
      </c>
      <c r="O789" t="str" cm="1">
        <f t="array" ref="O789">_xlfn.IFS(D789&lt;=50000,"low income",D789&lt;=100000,"Mid income",D789&gt;100000,"High income")</f>
        <v>Mid income</v>
      </c>
      <c r="P789" t="str" cm="1">
        <f t="array" ref="P789">_xlfn.IFS(E789&lt;=2,"&lt;=2",E789&gt;2,"&gt;2")</f>
        <v>&lt;=2</v>
      </c>
    </row>
    <row r="790" spans="1:16">
      <c r="A790" s="2">
        <v>26270</v>
      </c>
      <c r="B790" s="2" t="s">
        <v>28</v>
      </c>
      <c r="C790" s="2" t="s">
        <v>17</v>
      </c>
      <c r="D790" s="6">
        <v>20000</v>
      </c>
      <c r="E790" s="2">
        <v>2</v>
      </c>
      <c r="F790" s="2" t="s">
        <v>35</v>
      </c>
      <c r="G790" s="2" t="s">
        <v>24</v>
      </c>
      <c r="H790" s="2" t="s">
        <v>20</v>
      </c>
      <c r="I790" s="2">
        <v>2</v>
      </c>
      <c r="J790" s="4" t="s">
        <v>32</v>
      </c>
      <c r="K790" s="2" t="s">
        <v>38</v>
      </c>
      <c r="L790" s="2">
        <v>49</v>
      </c>
      <c r="M790" t="str" cm="1">
        <f t="array" ref="M790">_xlfn.IFS(L790&lt;=35,"YOUNG_ADULTS",L790&lt;=55,"MIDDLE_AGED",L790&gt;55,"OLD-AGED")</f>
        <v>MIDDLE_AGED</v>
      </c>
      <c r="O790" t="str" cm="1">
        <f t="array" ref="O790">_xlfn.IFS(D790&lt;=50000,"low income",D790&lt;=100000,"Mid income",D790&gt;100000,"High income")</f>
        <v>low income</v>
      </c>
      <c r="P790" t="str" cm="1">
        <f t="array" ref="P790">_xlfn.IFS(E790&lt;=2,"&lt;=2",E790&gt;2,"&gt;2")</f>
        <v>&lt;=2</v>
      </c>
    </row>
    <row r="791" spans="1:16">
      <c r="A791" s="2">
        <v>22221</v>
      </c>
      <c r="B791" s="2" t="s">
        <v>16</v>
      </c>
      <c r="C791" s="2" t="s">
        <v>16</v>
      </c>
      <c r="D791" s="6">
        <v>60000</v>
      </c>
      <c r="E791" s="2">
        <v>2</v>
      </c>
      <c r="F791" s="2" t="s">
        <v>33</v>
      </c>
      <c r="G791" s="2" t="s">
        <v>25</v>
      </c>
      <c r="H791" s="2" t="s">
        <v>26</v>
      </c>
      <c r="I791" s="2">
        <v>2</v>
      </c>
      <c r="J791" s="4" t="s">
        <v>32</v>
      </c>
      <c r="K791" s="2" t="s">
        <v>38</v>
      </c>
      <c r="L791" s="2">
        <v>48</v>
      </c>
      <c r="M791" t="str" cm="1">
        <f t="array" ref="M791">_xlfn.IFS(L791&lt;=35,"YOUNG_ADULTS",L791&lt;=55,"MIDDLE_AGED",L791&gt;55,"OLD-AGED")</f>
        <v>MIDDLE_AGED</v>
      </c>
      <c r="N791" s="2" t="s">
        <v>20</v>
      </c>
      <c r="O791" t="str" cm="1">
        <f t="array" ref="O791">_xlfn.IFS(D791&lt;=50000,"low income",D791&lt;=100000,"Mid income",D791&gt;100000,"High income")</f>
        <v>Mid income</v>
      </c>
      <c r="P791" t="str" cm="1">
        <f t="array" ref="P791">_xlfn.IFS(E791&lt;=2,"&lt;=2",E791&gt;2,"&gt;2")</f>
        <v>&lt;=2</v>
      </c>
    </row>
    <row r="792" spans="1:16">
      <c r="A792" s="2">
        <v>28228</v>
      </c>
      <c r="B792" s="2" t="s">
        <v>28</v>
      </c>
      <c r="C792" s="2" t="s">
        <v>17</v>
      </c>
      <c r="D792" s="6">
        <v>80000</v>
      </c>
      <c r="E792" s="2">
        <v>2</v>
      </c>
      <c r="F792" s="2" t="s">
        <v>35</v>
      </c>
      <c r="G792" s="2" t="s">
        <v>19</v>
      </c>
      <c r="H792" s="2" t="s">
        <v>26</v>
      </c>
      <c r="I792" s="2">
        <v>2</v>
      </c>
      <c r="J792" s="4" t="s">
        <v>32</v>
      </c>
      <c r="K792" s="2" t="s">
        <v>38</v>
      </c>
      <c r="L792" s="2">
        <v>50</v>
      </c>
      <c r="M792" t="str" cm="1">
        <f t="array" ref="M792">_xlfn.IFS(L792&lt;=35,"YOUNG_ADULTS",L792&lt;=55,"MIDDLE_AGED",L792&gt;55,"OLD-AGED")</f>
        <v>MIDDLE_AGED</v>
      </c>
      <c r="O792" t="str" cm="1">
        <f t="array" ref="O792">_xlfn.IFS(D792&lt;=50000,"low income",D792&lt;=100000,"Mid income",D792&gt;100000,"High income")</f>
        <v>Mid income</v>
      </c>
      <c r="P792" t="str" cm="1">
        <f t="array" ref="P792">_xlfn.IFS(E792&lt;=2,"&lt;=2",E792&gt;2,"&gt;2")</f>
        <v>&lt;=2</v>
      </c>
    </row>
    <row r="793" spans="1:16">
      <c r="A793" s="2">
        <v>18363</v>
      </c>
      <c r="B793" s="2" t="s">
        <v>16</v>
      </c>
      <c r="C793" s="2" t="s">
        <v>16</v>
      </c>
      <c r="D793" s="6">
        <v>40000</v>
      </c>
      <c r="E793" s="2">
        <v>0</v>
      </c>
      <c r="F793" s="2" t="s">
        <v>33</v>
      </c>
      <c r="G793" s="2" t="s">
        <v>19</v>
      </c>
      <c r="H793" s="2" t="s">
        <v>20</v>
      </c>
      <c r="I793" s="2">
        <v>2</v>
      </c>
      <c r="J793" s="4" t="s">
        <v>29</v>
      </c>
      <c r="K793" s="2" t="s">
        <v>38</v>
      </c>
      <c r="L793" s="2">
        <v>28</v>
      </c>
      <c r="M793" t="str" cm="1">
        <f t="array" ref="M793">_xlfn.IFS(L793&lt;=35,"YOUNG_ADULTS",L793&lt;=55,"MIDDLE_AGED",L793&gt;55,"OLD-AGED")</f>
        <v>YOUNG_ADULTS</v>
      </c>
      <c r="N793" s="2" t="s">
        <v>20</v>
      </c>
      <c r="O793" t="str" cm="1">
        <f t="array" ref="O793">_xlfn.IFS(D793&lt;=50000,"low income",D793&lt;=100000,"Mid income",D793&gt;100000,"High income")</f>
        <v>low income</v>
      </c>
      <c r="P793" t="str" cm="1">
        <f t="array" ref="P793">_xlfn.IFS(E793&lt;=2,"&lt;=2",E793&gt;2,"&gt;2")</f>
        <v>&lt;=2</v>
      </c>
    </row>
    <row r="794" spans="1:16">
      <c r="A794" s="2">
        <v>23256</v>
      </c>
      <c r="B794" s="2" t="s">
        <v>28</v>
      </c>
      <c r="C794" s="2" t="s">
        <v>16</v>
      </c>
      <c r="D794" s="6">
        <v>30000</v>
      </c>
      <c r="E794" s="2">
        <v>1</v>
      </c>
      <c r="F794" s="2" t="s">
        <v>33</v>
      </c>
      <c r="G794" s="2" t="s">
        <v>24</v>
      </c>
      <c r="H794" s="2" t="s">
        <v>26</v>
      </c>
      <c r="I794" s="2">
        <v>1</v>
      </c>
      <c r="J794" s="4" t="s">
        <v>29</v>
      </c>
      <c r="K794" s="2" t="s">
        <v>38</v>
      </c>
      <c r="L794" s="2">
        <v>52</v>
      </c>
      <c r="M794" t="str" cm="1">
        <f t="array" ref="M794">_xlfn.IFS(L794&lt;=35,"YOUNG_ADULTS",L794&lt;=55,"MIDDLE_AGED",L794&gt;55,"OLD-AGED")</f>
        <v>MIDDLE_AGED</v>
      </c>
      <c r="O794" t="str" cm="1">
        <f t="array" ref="O794">_xlfn.IFS(D794&lt;=50000,"low income",D794&lt;=100000,"Mid income",D794&gt;100000,"High income")</f>
        <v>low income</v>
      </c>
      <c r="P794" t="str" cm="1">
        <f t="array" ref="P794">_xlfn.IFS(E794&lt;=2,"&lt;=2",E794&gt;2,"&gt;2")</f>
        <v>&lt;=2</v>
      </c>
    </row>
    <row r="795" spans="1:16">
      <c r="A795" s="2">
        <v>12768</v>
      </c>
      <c r="B795" s="2" t="s">
        <v>16</v>
      </c>
      <c r="C795" s="2" t="s">
        <v>16</v>
      </c>
      <c r="D795" s="6">
        <v>30000</v>
      </c>
      <c r="E795" s="2">
        <v>1</v>
      </c>
      <c r="F795" s="2" t="s">
        <v>33</v>
      </c>
      <c r="G795" s="2" t="s">
        <v>24</v>
      </c>
      <c r="H795" s="2" t="s">
        <v>20</v>
      </c>
      <c r="I795" s="2">
        <v>1</v>
      </c>
      <c r="J795" s="4" t="s">
        <v>27</v>
      </c>
      <c r="K795" s="2" t="s">
        <v>38</v>
      </c>
      <c r="L795" s="2">
        <v>52</v>
      </c>
      <c r="M795" t="str" cm="1">
        <f t="array" ref="M795">_xlfn.IFS(L795&lt;=35,"YOUNG_ADULTS",L795&lt;=55,"MIDDLE_AGED",L795&gt;55,"OLD-AGED")</f>
        <v>MIDDLE_AGED</v>
      </c>
      <c r="N795" s="2" t="s">
        <v>20</v>
      </c>
      <c r="O795" t="str" cm="1">
        <f t="array" ref="O795">_xlfn.IFS(D795&lt;=50000,"low income",D795&lt;=100000,"Mid income",D795&gt;100000,"High income")</f>
        <v>low income</v>
      </c>
      <c r="P795" t="str" cm="1">
        <f t="array" ref="P795">_xlfn.IFS(E795&lt;=2,"&lt;=2",E795&gt;2,"&gt;2")</f>
        <v>&lt;=2</v>
      </c>
    </row>
    <row r="796" spans="1:16">
      <c r="A796" s="2">
        <v>20361</v>
      </c>
      <c r="B796" s="2" t="s">
        <v>16</v>
      </c>
      <c r="C796" s="2" t="s">
        <v>16</v>
      </c>
      <c r="D796" s="6">
        <v>50000</v>
      </c>
      <c r="E796" s="2">
        <v>2</v>
      </c>
      <c r="F796" s="2" t="s">
        <v>37</v>
      </c>
      <c r="G796" s="2" t="s">
        <v>34</v>
      </c>
      <c r="H796" s="2" t="s">
        <v>20</v>
      </c>
      <c r="I796" s="2">
        <v>2</v>
      </c>
      <c r="J796" s="4" t="s">
        <v>29</v>
      </c>
      <c r="K796" s="2" t="s">
        <v>38</v>
      </c>
      <c r="L796" s="2">
        <v>69</v>
      </c>
      <c r="M796" t="str" cm="1">
        <f t="array" ref="M796">_xlfn.IFS(L796&lt;=35,"YOUNG_ADULTS",L796&lt;=55,"MIDDLE_AGED",L796&gt;55,"OLD-AGED")</f>
        <v>OLD-AGED</v>
      </c>
      <c r="O796" t="str" cm="1">
        <f t="array" ref="O796">_xlfn.IFS(D796&lt;=50000,"low income",D796&lt;=100000,"Mid income",D796&gt;100000,"High income")</f>
        <v>low income</v>
      </c>
      <c r="P796" t="str" cm="1">
        <f t="array" ref="P796">_xlfn.IFS(E796&lt;=2,"&lt;=2",E796&gt;2,"&gt;2")</f>
        <v>&lt;=2</v>
      </c>
    </row>
    <row r="797" spans="1:16">
      <c r="A797" s="2">
        <v>21306</v>
      </c>
      <c r="B797" s="2" t="s">
        <v>28</v>
      </c>
      <c r="C797" s="2" t="s">
        <v>16</v>
      </c>
      <c r="D797" s="6">
        <v>60000</v>
      </c>
      <c r="E797" s="2">
        <v>2</v>
      </c>
      <c r="F797" s="2" t="s">
        <v>33</v>
      </c>
      <c r="G797" s="2" t="s">
        <v>25</v>
      </c>
      <c r="H797" s="2" t="s">
        <v>20</v>
      </c>
      <c r="I797" s="2">
        <v>2</v>
      </c>
      <c r="J797" s="4" t="s">
        <v>29</v>
      </c>
      <c r="K797" s="2" t="s">
        <v>38</v>
      </c>
      <c r="L797" s="2">
        <v>51</v>
      </c>
      <c r="M797" t="str" cm="1">
        <f t="array" ref="M797">_xlfn.IFS(L797&lt;=35,"YOUNG_ADULTS",L797&lt;=55,"MIDDLE_AGED",L797&gt;55,"OLD-AGED")</f>
        <v>MIDDLE_AGED</v>
      </c>
      <c r="O797" t="str" cm="1">
        <f t="array" ref="O797">_xlfn.IFS(D797&lt;=50000,"low income",D797&lt;=100000,"Mid income",D797&gt;100000,"High income")</f>
        <v>Mid income</v>
      </c>
      <c r="P797" t="str" cm="1">
        <f t="array" ref="P797">_xlfn.IFS(E797&lt;=2,"&lt;=2",E797&gt;2,"&gt;2")</f>
        <v>&lt;=2</v>
      </c>
    </row>
    <row r="798" spans="1:16">
      <c r="A798" s="2">
        <v>13382</v>
      </c>
      <c r="B798" s="2" t="s">
        <v>16</v>
      </c>
      <c r="C798" s="2" t="s">
        <v>16</v>
      </c>
      <c r="D798" s="6">
        <v>70000</v>
      </c>
      <c r="E798" s="2">
        <v>5</v>
      </c>
      <c r="F798" s="2" t="s">
        <v>23</v>
      </c>
      <c r="G798" s="2" t="s">
        <v>25</v>
      </c>
      <c r="H798" s="2" t="s">
        <v>20</v>
      </c>
      <c r="I798" s="2">
        <v>2</v>
      </c>
      <c r="J798" s="4" t="s">
        <v>32</v>
      </c>
      <c r="K798" s="2" t="s">
        <v>38</v>
      </c>
      <c r="L798" s="2">
        <v>57</v>
      </c>
      <c r="M798" t="str" cm="1">
        <f t="array" ref="M798">_xlfn.IFS(L798&lt;=35,"YOUNG_ADULTS",L798&lt;=55,"MIDDLE_AGED",L798&gt;55,"OLD-AGED")</f>
        <v>OLD-AGED</v>
      </c>
      <c r="N798" s="2" t="s">
        <v>20</v>
      </c>
      <c r="O798" t="str" cm="1">
        <f t="array" ref="O798">_xlfn.IFS(D798&lt;=50000,"low income",D798&lt;=100000,"Mid income",D798&gt;100000,"High income")</f>
        <v>Mid income</v>
      </c>
      <c r="P798" t="str" cm="1">
        <f t="array" ref="P798">_xlfn.IFS(E798&lt;=2,"&lt;=2",E798&gt;2,"&gt;2")</f>
        <v>&gt;2</v>
      </c>
    </row>
    <row r="799" spans="1:16">
      <c r="A799" s="2">
        <v>20310</v>
      </c>
      <c r="B799" s="2" t="s">
        <v>28</v>
      </c>
      <c r="C799" s="2" t="s">
        <v>16</v>
      </c>
      <c r="D799" s="6">
        <v>60000</v>
      </c>
      <c r="E799" s="2">
        <v>0</v>
      </c>
      <c r="F799" s="2" t="s">
        <v>23</v>
      </c>
      <c r="G799" s="2" t="s">
        <v>19</v>
      </c>
      <c r="H799" s="2" t="s">
        <v>20</v>
      </c>
      <c r="I799" s="2">
        <v>1</v>
      </c>
      <c r="J799" s="4" t="s">
        <v>29</v>
      </c>
      <c r="K799" s="2" t="s">
        <v>38</v>
      </c>
      <c r="L799" s="2">
        <v>27</v>
      </c>
      <c r="M799" t="str" cm="1">
        <f t="array" ref="M799">_xlfn.IFS(L799&lt;=35,"YOUNG_ADULTS",L799&lt;=55,"MIDDLE_AGED",L799&gt;55,"OLD-AGED")</f>
        <v>YOUNG_ADULTS</v>
      </c>
      <c r="N799" s="2" t="s">
        <v>20</v>
      </c>
      <c r="O799" t="str" cm="1">
        <f t="array" ref="O799">_xlfn.IFS(D799&lt;=50000,"low income",D799&lt;=100000,"Mid income",D799&gt;100000,"High income")</f>
        <v>Mid income</v>
      </c>
      <c r="P799" t="str" cm="1">
        <f t="array" ref="P799">_xlfn.IFS(E799&lt;=2,"&lt;=2",E799&gt;2,"&gt;2")</f>
        <v>&lt;=2</v>
      </c>
    </row>
    <row r="800" spans="1:16">
      <c r="A800" s="2">
        <v>22971</v>
      </c>
      <c r="B800" s="2" t="s">
        <v>28</v>
      </c>
      <c r="C800" s="2" t="s">
        <v>17</v>
      </c>
      <c r="D800" s="6">
        <v>30000</v>
      </c>
      <c r="E800" s="2">
        <v>0</v>
      </c>
      <c r="F800" s="2" t="s">
        <v>33</v>
      </c>
      <c r="G800" s="2" t="s">
        <v>19</v>
      </c>
      <c r="H800" s="2" t="s">
        <v>26</v>
      </c>
      <c r="I800" s="2">
        <v>2</v>
      </c>
      <c r="J800" s="4" t="s">
        <v>21</v>
      </c>
      <c r="K800" s="2" t="s">
        <v>38</v>
      </c>
      <c r="L800" s="2">
        <v>25</v>
      </c>
      <c r="M800" t="str" cm="1">
        <f t="array" ref="M800">_xlfn.IFS(L800&lt;=35,"YOUNG_ADULTS",L800&lt;=55,"MIDDLE_AGED",L800&gt;55,"OLD-AGED")</f>
        <v>YOUNG_ADULTS</v>
      </c>
      <c r="N800" s="2" t="s">
        <v>20</v>
      </c>
      <c r="O800" t="str" cm="1">
        <f t="array" ref="O800">_xlfn.IFS(D800&lt;=50000,"low income",D800&lt;=100000,"Mid income",D800&gt;100000,"High income")</f>
        <v>low income</v>
      </c>
      <c r="P800" t="str" cm="1">
        <f t="array" ref="P800">_xlfn.IFS(E800&lt;=2,"&lt;=2",E800&gt;2,"&gt;2")</f>
        <v>&lt;=2</v>
      </c>
    </row>
    <row r="801" spans="1:16">
      <c r="A801" s="2">
        <v>15287</v>
      </c>
      <c r="B801" s="2" t="s">
        <v>28</v>
      </c>
      <c r="C801" s="2" t="s">
        <v>17</v>
      </c>
      <c r="D801" s="6">
        <v>50000</v>
      </c>
      <c r="E801" s="2">
        <v>1</v>
      </c>
      <c r="F801" s="2" t="s">
        <v>37</v>
      </c>
      <c r="G801" s="2" t="s">
        <v>19</v>
      </c>
      <c r="H801" s="2" t="s">
        <v>20</v>
      </c>
      <c r="I801" s="2">
        <v>0</v>
      </c>
      <c r="J801" s="4" t="s">
        <v>32</v>
      </c>
      <c r="K801" s="2" t="s">
        <v>38</v>
      </c>
      <c r="L801" s="2">
        <v>33</v>
      </c>
      <c r="M801" t="str" cm="1">
        <f t="array" ref="M801">_xlfn.IFS(L801&lt;=35,"YOUNG_ADULTS",L801&lt;=55,"MIDDLE_AGED",L801&gt;55,"OLD-AGED")</f>
        <v>YOUNG_ADULTS</v>
      </c>
      <c r="N801" s="2" t="s">
        <v>20</v>
      </c>
      <c r="O801" t="str" cm="1">
        <f t="array" ref="O801">_xlfn.IFS(D801&lt;=50000,"low income",D801&lt;=100000,"Mid income",D801&gt;100000,"High income")</f>
        <v>low income</v>
      </c>
      <c r="P801" t="str" cm="1">
        <f t="array" ref="P801">_xlfn.IFS(E801&lt;=2,"&lt;=2",E801&gt;2,"&gt;2")</f>
        <v>&lt;=2</v>
      </c>
    </row>
    <row r="802" spans="1:16">
      <c r="A802" s="2">
        <v>15532</v>
      </c>
      <c r="B802" s="2" t="s">
        <v>28</v>
      </c>
      <c r="C802" s="2" t="s">
        <v>16</v>
      </c>
      <c r="D802" s="6">
        <v>60000</v>
      </c>
      <c r="E802" s="2">
        <v>4</v>
      </c>
      <c r="F802" s="2" t="s">
        <v>18</v>
      </c>
      <c r="G802" s="2" t="s">
        <v>25</v>
      </c>
      <c r="H802" s="2" t="s">
        <v>20</v>
      </c>
      <c r="I802" s="2">
        <v>2</v>
      </c>
      <c r="J802" s="4" t="s">
        <v>27</v>
      </c>
      <c r="K802" s="2" t="s">
        <v>38</v>
      </c>
      <c r="L802" s="2">
        <v>43</v>
      </c>
      <c r="M802" t="str" cm="1">
        <f t="array" ref="M802">_xlfn.IFS(L802&lt;=35,"YOUNG_ADULTS",L802&lt;=55,"MIDDLE_AGED",L802&gt;55,"OLD-AGED")</f>
        <v>MIDDLE_AGED</v>
      </c>
      <c r="N802" s="2" t="s">
        <v>20</v>
      </c>
      <c r="O802" t="str" cm="1">
        <f t="array" ref="O802">_xlfn.IFS(D802&lt;=50000,"low income",D802&lt;=100000,"Mid income",D802&gt;100000,"High income")</f>
        <v>Mid income</v>
      </c>
      <c r="P802" t="str" cm="1">
        <f t="array" ref="P802">_xlfn.IFS(E802&lt;=2,"&lt;=2",E802&gt;2,"&gt;2")</f>
        <v>&gt;2</v>
      </c>
    </row>
    <row r="803" spans="1:16">
      <c r="A803" s="2">
        <v>11255</v>
      </c>
      <c r="B803" s="2" t="s">
        <v>16</v>
      </c>
      <c r="C803" s="2" t="s">
        <v>16</v>
      </c>
      <c r="D803" s="6">
        <v>70000</v>
      </c>
      <c r="E803" s="2">
        <v>4</v>
      </c>
      <c r="F803" s="2" t="s">
        <v>37</v>
      </c>
      <c r="G803" s="2" t="s">
        <v>34</v>
      </c>
      <c r="H803" s="2" t="s">
        <v>20</v>
      </c>
      <c r="I803" s="2">
        <v>2</v>
      </c>
      <c r="J803" s="4" t="s">
        <v>29</v>
      </c>
      <c r="K803" s="2" t="s">
        <v>38</v>
      </c>
      <c r="L803" s="2">
        <v>73</v>
      </c>
      <c r="M803" t="str" cm="1">
        <f t="array" ref="M803">_xlfn.IFS(L803&lt;=35,"YOUNG_ADULTS",L803&lt;=55,"MIDDLE_AGED",L803&gt;55,"OLD-AGED")</f>
        <v>OLD-AGED</v>
      </c>
      <c r="O803" t="str" cm="1">
        <f t="array" ref="O803">_xlfn.IFS(D803&lt;=50000,"low income",D803&lt;=100000,"Mid income",D803&gt;100000,"High income")</f>
        <v>Mid income</v>
      </c>
      <c r="P803" t="str" cm="1">
        <f t="array" ref="P803">_xlfn.IFS(E803&lt;=2,"&lt;=2",E803&gt;2,"&gt;2")</f>
        <v>&gt;2</v>
      </c>
    </row>
    <row r="804" spans="1:16">
      <c r="A804" s="2">
        <v>28090</v>
      </c>
      <c r="B804" s="2" t="s">
        <v>16</v>
      </c>
      <c r="C804" s="2" t="s">
        <v>16</v>
      </c>
      <c r="D804" s="6">
        <v>40000</v>
      </c>
      <c r="E804" s="2">
        <v>0</v>
      </c>
      <c r="F804" s="2" t="s">
        <v>23</v>
      </c>
      <c r="G804" s="2" t="s">
        <v>19</v>
      </c>
      <c r="H804" s="2" t="s">
        <v>20</v>
      </c>
      <c r="I804" s="2">
        <v>1</v>
      </c>
      <c r="J804" s="4" t="s">
        <v>29</v>
      </c>
      <c r="K804" s="2" t="s">
        <v>38</v>
      </c>
      <c r="L804" s="2">
        <v>27</v>
      </c>
      <c r="M804" t="str" cm="1">
        <f t="array" ref="M804">_xlfn.IFS(L804&lt;=35,"YOUNG_ADULTS",L804&lt;=55,"MIDDLE_AGED",L804&gt;55,"OLD-AGED")</f>
        <v>YOUNG_ADULTS</v>
      </c>
      <c r="O804" t="str" cm="1">
        <f t="array" ref="O804">_xlfn.IFS(D804&lt;=50000,"low income",D804&lt;=100000,"Mid income",D804&gt;100000,"High income")</f>
        <v>low income</v>
      </c>
      <c r="P804" t="str" cm="1">
        <f t="array" ref="P804">_xlfn.IFS(E804&lt;=2,"&lt;=2",E804&gt;2,"&gt;2")</f>
        <v>&lt;=2</v>
      </c>
    </row>
    <row r="805" spans="1:16">
      <c r="A805" s="2">
        <v>15255</v>
      </c>
      <c r="B805" s="2" t="s">
        <v>16</v>
      </c>
      <c r="C805" s="2" t="s">
        <v>16</v>
      </c>
      <c r="D805" s="6">
        <v>40000</v>
      </c>
      <c r="E805" s="2">
        <v>0</v>
      </c>
      <c r="F805" s="2" t="s">
        <v>33</v>
      </c>
      <c r="G805" s="2" t="s">
        <v>19</v>
      </c>
      <c r="H805" s="2" t="s">
        <v>20</v>
      </c>
      <c r="I805" s="2">
        <v>2</v>
      </c>
      <c r="J805" s="4" t="s">
        <v>29</v>
      </c>
      <c r="K805" s="2" t="s">
        <v>38</v>
      </c>
      <c r="L805" s="2">
        <v>28</v>
      </c>
      <c r="M805" t="str" cm="1">
        <f t="array" ref="M805">_xlfn.IFS(L805&lt;=35,"YOUNG_ADULTS",L805&lt;=55,"MIDDLE_AGED",L805&gt;55,"OLD-AGED")</f>
        <v>YOUNG_ADULTS</v>
      </c>
      <c r="N805" s="2" t="s">
        <v>20</v>
      </c>
      <c r="O805" t="str" cm="1">
        <f t="array" ref="O805">_xlfn.IFS(D805&lt;=50000,"low income",D805&lt;=100000,"Mid income",D805&gt;100000,"High income")</f>
        <v>low income</v>
      </c>
      <c r="P805" t="str" cm="1">
        <f t="array" ref="P805">_xlfn.IFS(E805&lt;=2,"&lt;=2",E805&gt;2,"&gt;2")</f>
        <v>&lt;=2</v>
      </c>
    </row>
    <row r="806" spans="1:16">
      <c r="A806" s="2">
        <v>13154</v>
      </c>
      <c r="B806" s="2" t="s">
        <v>16</v>
      </c>
      <c r="C806" s="2" t="s">
        <v>16</v>
      </c>
      <c r="D806" s="6">
        <v>40000</v>
      </c>
      <c r="E806" s="2">
        <v>0</v>
      </c>
      <c r="F806" s="2" t="s">
        <v>33</v>
      </c>
      <c r="G806" s="2" t="s">
        <v>19</v>
      </c>
      <c r="H806" s="2" t="s">
        <v>26</v>
      </c>
      <c r="I806" s="2">
        <v>2</v>
      </c>
      <c r="J806" s="4" t="s">
        <v>21</v>
      </c>
      <c r="K806" s="2" t="s">
        <v>38</v>
      </c>
      <c r="L806" s="2">
        <v>27</v>
      </c>
      <c r="M806" t="str" cm="1">
        <f t="array" ref="M806">_xlfn.IFS(L806&lt;=35,"YOUNG_ADULTS",L806&lt;=55,"MIDDLE_AGED",L806&gt;55,"OLD-AGED")</f>
        <v>YOUNG_ADULTS</v>
      </c>
      <c r="N806" s="2" t="s">
        <v>20</v>
      </c>
      <c r="O806" t="str" cm="1">
        <f t="array" ref="O806">_xlfn.IFS(D806&lt;=50000,"low income",D806&lt;=100000,"Mid income",D806&gt;100000,"High income")</f>
        <v>low income</v>
      </c>
      <c r="P806" t="str" cm="1">
        <f t="array" ref="P806">_xlfn.IFS(E806&lt;=2,"&lt;=2",E806&gt;2,"&gt;2")</f>
        <v>&lt;=2</v>
      </c>
    </row>
    <row r="807" spans="1:16">
      <c r="A807" s="2">
        <v>26778</v>
      </c>
      <c r="B807" s="2" t="s">
        <v>28</v>
      </c>
      <c r="C807" s="2" t="s">
        <v>17</v>
      </c>
      <c r="D807" s="6">
        <v>40000</v>
      </c>
      <c r="E807" s="2">
        <v>0</v>
      </c>
      <c r="F807" s="2" t="s">
        <v>33</v>
      </c>
      <c r="G807" s="2" t="s">
        <v>19</v>
      </c>
      <c r="H807" s="2" t="s">
        <v>20</v>
      </c>
      <c r="I807" s="2">
        <v>2</v>
      </c>
      <c r="J807" s="4" t="s">
        <v>29</v>
      </c>
      <c r="K807" s="2" t="s">
        <v>38</v>
      </c>
      <c r="L807" s="2">
        <v>31</v>
      </c>
      <c r="M807" t="str" cm="1">
        <f t="array" ref="M807">_xlfn.IFS(L807&lt;=35,"YOUNG_ADULTS",L807&lt;=55,"MIDDLE_AGED",L807&gt;55,"OLD-AGED")</f>
        <v>YOUNG_ADULTS</v>
      </c>
      <c r="O807" t="str" cm="1">
        <f t="array" ref="O807">_xlfn.IFS(D807&lt;=50000,"low income",D807&lt;=100000,"Mid income",D807&gt;100000,"High income")</f>
        <v>low income</v>
      </c>
      <c r="P807" t="str" cm="1">
        <f t="array" ref="P807">_xlfn.IFS(E807&lt;=2,"&lt;=2",E807&gt;2,"&gt;2")</f>
        <v>&lt;=2</v>
      </c>
    </row>
    <row r="808" spans="1:16">
      <c r="A808" s="2">
        <v>23248</v>
      </c>
      <c r="B808" s="2" t="s">
        <v>16</v>
      </c>
      <c r="C808" s="2" t="s">
        <v>17</v>
      </c>
      <c r="D808" s="6">
        <v>10000</v>
      </c>
      <c r="E808" s="2">
        <v>2</v>
      </c>
      <c r="F808" s="2" t="s">
        <v>33</v>
      </c>
      <c r="G808" s="2" t="s">
        <v>31</v>
      </c>
      <c r="H808" s="2" t="s">
        <v>20</v>
      </c>
      <c r="I808" s="2">
        <v>2</v>
      </c>
      <c r="J808" s="4" t="s">
        <v>32</v>
      </c>
      <c r="K808" s="2" t="s">
        <v>38</v>
      </c>
      <c r="L808" s="2">
        <v>53</v>
      </c>
      <c r="M808" t="str" cm="1">
        <f t="array" ref="M808">_xlfn.IFS(L808&lt;=35,"YOUNG_ADULTS",L808&lt;=55,"MIDDLE_AGED",L808&gt;55,"OLD-AGED")</f>
        <v>MIDDLE_AGED</v>
      </c>
      <c r="O808" t="str" cm="1">
        <f t="array" ref="O808">_xlfn.IFS(D808&lt;=50000,"low income",D808&lt;=100000,"Mid income",D808&gt;100000,"High income")</f>
        <v>low income</v>
      </c>
      <c r="P808" t="str" cm="1">
        <f t="array" ref="P808">_xlfn.IFS(E808&lt;=2,"&lt;=2",E808&gt;2,"&gt;2")</f>
        <v>&lt;=2</v>
      </c>
    </row>
    <row r="809" spans="1:16">
      <c r="A809" s="2">
        <v>21417</v>
      </c>
      <c r="B809" s="2" t="s">
        <v>28</v>
      </c>
      <c r="C809" s="2" t="s">
        <v>17</v>
      </c>
      <c r="D809" s="6">
        <v>60000</v>
      </c>
      <c r="E809" s="2">
        <v>0</v>
      </c>
      <c r="F809" s="2" t="s">
        <v>23</v>
      </c>
      <c r="G809" s="2" t="s">
        <v>25</v>
      </c>
      <c r="H809" s="2" t="s">
        <v>26</v>
      </c>
      <c r="I809" s="2">
        <v>2</v>
      </c>
      <c r="J809" s="4" t="s">
        <v>32</v>
      </c>
      <c r="K809" s="2" t="s">
        <v>38</v>
      </c>
      <c r="L809" s="2">
        <v>32</v>
      </c>
      <c r="M809" t="str" cm="1">
        <f t="array" ref="M809">_xlfn.IFS(L809&lt;=35,"YOUNG_ADULTS",L809&lt;=55,"MIDDLE_AGED",L809&gt;55,"OLD-AGED")</f>
        <v>YOUNG_ADULTS</v>
      </c>
      <c r="N809" s="2" t="s">
        <v>20</v>
      </c>
      <c r="O809" t="str" cm="1">
        <f t="array" ref="O809">_xlfn.IFS(D809&lt;=50000,"low income",D809&lt;=100000,"Mid income",D809&gt;100000,"High income")</f>
        <v>Mid income</v>
      </c>
      <c r="P809" t="str" cm="1">
        <f t="array" ref="P809">_xlfn.IFS(E809&lt;=2,"&lt;=2",E809&gt;2,"&gt;2")</f>
        <v>&lt;=2</v>
      </c>
    </row>
    <row r="810" spans="1:16">
      <c r="A810" s="2">
        <v>17668</v>
      </c>
      <c r="B810" s="2" t="s">
        <v>28</v>
      </c>
      <c r="C810" s="2" t="s">
        <v>16</v>
      </c>
      <c r="D810" s="6">
        <v>30000</v>
      </c>
      <c r="E810" s="2">
        <v>2</v>
      </c>
      <c r="F810" s="2" t="s">
        <v>33</v>
      </c>
      <c r="G810" s="2" t="s">
        <v>19</v>
      </c>
      <c r="H810" s="2" t="s">
        <v>20</v>
      </c>
      <c r="I810" s="2">
        <v>2</v>
      </c>
      <c r="J810" s="4" t="s">
        <v>32</v>
      </c>
      <c r="K810" s="2" t="s">
        <v>38</v>
      </c>
      <c r="L810" s="2">
        <v>50</v>
      </c>
      <c r="M810" t="str" cm="1">
        <f t="array" ref="M810">_xlfn.IFS(L810&lt;=35,"YOUNG_ADULTS",L810&lt;=55,"MIDDLE_AGED",L810&gt;55,"OLD-AGED")</f>
        <v>MIDDLE_AGED</v>
      </c>
      <c r="N810" s="2" t="s">
        <v>20</v>
      </c>
      <c r="O810" t="str" cm="1">
        <f t="array" ref="O810">_xlfn.IFS(D810&lt;=50000,"low income",D810&lt;=100000,"Mid income",D810&gt;100000,"High income")</f>
        <v>low income</v>
      </c>
      <c r="P810" t="str" cm="1">
        <f t="array" ref="P810">_xlfn.IFS(E810&lt;=2,"&lt;=2",E810&gt;2,"&gt;2")</f>
        <v>&lt;=2</v>
      </c>
    </row>
    <row r="811" spans="1:16">
      <c r="A811" s="2">
        <v>27994</v>
      </c>
      <c r="B811" s="2" t="s">
        <v>16</v>
      </c>
      <c r="C811" s="2" t="s">
        <v>17</v>
      </c>
      <c r="D811" s="6">
        <v>40000</v>
      </c>
      <c r="E811" s="2">
        <v>4</v>
      </c>
      <c r="F811" s="2" t="s">
        <v>33</v>
      </c>
      <c r="G811" s="2" t="s">
        <v>25</v>
      </c>
      <c r="H811" s="2" t="s">
        <v>20</v>
      </c>
      <c r="I811" s="2">
        <v>2</v>
      </c>
      <c r="J811" s="4" t="s">
        <v>29</v>
      </c>
      <c r="K811" s="2" t="s">
        <v>38</v>
      </c>
      <c r="L811" s="2">
        <v>69</v>
      </c>
      <c r="M811" t="str" cm="1">
        <f t="array" ref="M811">_xlfn.IFS(L811&lt;=35,"YOUNG_ADULTS",L811&lt;=55,"MIDDLE_AGED",L811&gt;55,"OLD-AGED")</f>
        <v>OLD-AGED</v>
      </c>
      <c r="O811" t="str" cm="1">
        <f t="array" ref="O811">_xlfn.IFS(D811&lt;=50000,"low income",D811&lt;=100000,"Mid income",D811&gt;100000,"High income")</f>
        <v>low income</v>
      </c>
      <c r="P811" t="str" cm="1">
        <f t="array" ref="P811">_xlfn.IFS(E811&lt;=2,"&lt;=2",E811&gt;2,"&gt;2")</f>
        <v>&gt;2</v>
      </c>
    </row>
    <row r="812" spans="1:16">
      <c r="A812" s="2">
        <v>20376</v>
      </c>
      <c r="B812" s="2" t="s">
        <v>28</v>
      </c>
      <c r="C812" s="2" t="s">
        <v>17</v>
      </c>
      <c r="D812" s="6">
        <v>70000</v>
      </c>
      <c r="E812" s="2">
        <v>3</v>
      </c>
      <c r="F812" s="2" t="s">
        <v>37</v>
      </c>
      <c r="G812" s="2" t="s">
        <v>34</v>
      </c>
      <c r="H812" s="2" t="s">
        <v>20</v>
      </c>
      <c r="I812" s="2">
        <v>2</v>
      </c>
      <c r="J812" s="4" t="s">
        <v>29</v>
      </c>
      <c r="K812" s="2" t="s">
        <v>38</v>
      </c>
      <c r="L812" s="2">
        <v>52</v>
      </c>
      <c r="M812" t="str" cm="1">
        <f t="array" ref="M812">_xlfn.IFS(L812&lt;=35,"YOUNG_ADULTS",L812&lt;=55,"MIDDLE_AGED",L812&gt;55,"OLD-AGED")</f>
        <v>MIDDLE_AGED</v>
      </c>
      <c r="N812" s="2" t="s">
        <v>20</v>
      </c>
      <c r="O812" t="str" cm="1">
        <f t="array" ref="O812">_xlfn.IFS(D812&lt;=50000,"low income",D812&lt;=100000,"Mid income",D812&gt;100000,"High income")</f>
        <v>Mid income</v>
      </c>
      <c r="P812" t="str" cm="1">
        <f t="array" ref="P812">_xlfn.IFS(E812&lt;=2,"&lt;=2",E812&gt;2,"&gt;2")</f>
        <v>&gt;2</v>
      </c>
    </row>
    <row r="813" spans="1:16">
      <c r="A813" s="2">
        <v>25954</v>
      </c>
      <c r="B813" s="2" t="s">
        <v>16</v>
      </c>
      <c r="C813" s="2" t="s">
        <v>16</v>
      </c>
      <c r="D813" s="6">
        <v>60000</v>
      </c>
      <c r="E813" s="2">
        <v>0</v>
      </c>
      <c r="F813" s="2" t="s">
        <v>23</v>
      </c>
      <c r="G813" s="2" t="s">
        <v>19</v>
      </c>
      <c r="H813" s="2" t="s">
        <v>26</v>
      </c>
      <c r="I813" s="2">
        <v>2</v>
      </c>
      <c r="J813" s="4" t="s">
        <v>32</v>
      </c>
      <c r="K813" s="2" t="s">
        <v>38</v>
      </c>
      <c r="L813" s="2">
        <v>31</v>
      </c>
      <c r="M813" t="str" cm="1">
        <f t="array" ref="M813">_xlfn.IFS(L813&lt;=35,"YOUNG_ADULTS",L813&lt;=55,"MIDDLE_AGED",L813&gt;55,"OLD-AGED")</f>
        <v>YOUNG_ADULTS</v>
      </c>
      <c r="O813" t="str" cm="1">
        <f t="array" ref="O813">_xlfn.IFS(D813&lt;=50000,"low income",D813&lt;=100000,"Mid income",D813&gt;100000,"High income")</f>
        <v>Mid income</v>
      </c>
      <c r="P813" t="str" cm="1">
        <f t="array" ref="P813">_xlfn.IFS(E813&lt;=2,"&lt;=2",E813&gt;2,"&gt;2")</f>
        <v>&lt;=2</v>
      </c>
    </row>
    <row r="814" spans="1:16">
      <c r="A814" s="2">
        <v>15749</v>
      </c>
      <c r="B814" s="2" t="s">
        <v>28</v>
      </c>
      <c r="C814" s="2" t="s">
        <v>17</v>
      </c>
      <c r="D814" s="6">
        <v>70000</v>
      </c>
      <c r="E814" s="2">
        <v>4</v>
      </c>
      <c r="F814" s="2" t="s">
        <v>18</v>
      </c>
      <c r="G814" s="2" t="s">
        <v>34</v>
      </c>
      <c r="H814" s="2" t="s">
        <v>20</v>
      </c>
      <c r="I814" s="2">
        <v>2</v>
      </c>
      <c r="J814" s="4" t="s">
        <v>36</v>
      </c>
      <c r="K814" s="2" t="s">
        <v>38</v>
      </c>
      <c r="L814" s="2">
        <v>61</v>
      </c>
      <c r="M814" t="str" cm="1">
        <f t="array" ref="M814">_xlfn.IFS(L814&lt;=35,"YOUNG_ADULTS",L814&lt;=55,"MIDDLE_AGED",L814&gt;55,"OLD-AGED")</f>
        <v>OLD-AGED</v>
      </c>
      <c r="O814" t="str" cm="1">
        <f t="array" ref="O814">_xlfn.IFS(D814&lt;=50000,"low income",D814&lt;=100000,"Mid income",D814&gt;100000,"High income")</f>
        <v>Mid income</v>
      </c>
      <c r="P814" t="str" cm="1">
        <f t="array" ref="P814">_xlfn.IFS(E814&lt;=2,"&lt;=2",E814&gt;2,"&gt;2")</f>
        <v>&gt;2</v>
      </c>
    </row>
    <row r="815" spans="1:16">
      <c r="A815" s="2">
        <v>25899</v>
      </c>
      <c r="B815" s="2" t="s">
        <v>16</v>
      </c>
      <c r="C815" s="2" t="s">
        <v>17</v>
      </c>
      <c r="D815" s="6">
        <v>70000</v>
      </c>
      <c r="E815" s="2">
        <v>2</v>
      </c>
      <c r="F815" s="2" t="s">
        <v>33</v>
      </c>
      <c r="G815" s="2" t="s">
        <v>25</v>
      </c>
      <c r="H815" s="2" t="s">
        <v>20</v>
      </c>
      <c r="I815" s="2">
        <v>2</v>
      </c>
      <c r="J815" s="4" t="s">
        <v>36</v>
      </c>
      <c r="K815" s="2" t="s">
        <v>38</v>
      </c>
      <c r="L815" s="2">
        <v>53</v>
      </c>
      <c r="M815" t="str" cm="1">
        <f t="array" ref="M815">_xlfn.IFS(L815&lt;=35,"YOUNG_ADULTS",L815&lt;=55,"MIDDLE_AGED",L815&gt;55,"OLD-AGED")</f>
        <v>MIDDLE_AGED</v>
      </c>
      <c r="O815" t="str" cm="1">
        <f t="array" ref="O815">_xlfn.IFS(D815&lt;=50000,"low income",D815&lt;=100000,"Mid income",D815&gt;100000,"High income")</f>
        <v>Mid income</v>
      </c>
      <c r="P815" t="str" cm="1">
        <f t="array" ref="P815">_xlfn.IFS(E815&lt;=2,"&lt;=2",E815&gt;2,"&gt;2")</f>
        <v>&lt;=2</v>
      </c>
    </row>
    <row r="816" spans="1:16">
      <c r="A816" s="2">
        <v>13351</v>
      </c>
      <c r="B816" s="2" t="s">
        <v>28</v>
      </c>
      <c r="C816" s="2" t="s">
        <v>17</v>
      </c>
      <c r="D816" s="6">
        <v>70000</v>
      </c>
      <c r="E816" s="2">
        <v>4</v>
      </c>
      <c r="F816" s="2" t="s">
        <v>18</v>
      </c>
      <c r="G816" s="2" t="s">
        <v>34</v>
      </c>
      <c r="H816" s="2" t="s">
        <v>20</v>
      </c>
      <c r="I816" s="2">
        <v>2</v>
      </c>
      <c r="J816" s="4" t="s">
        <v>32</v>
      </c>
      <c r="K816" s="2" t="s">
        <v>38</v>
      </c>
      <c r="L816" s="2">
        <v>62</v>
      </c>
      <c r="M816" t="str" cm="1">
        <f t="array" ref="M816">_xlfn.IFS(L816&lt;=35,"YOUNG_ADULTS",L816&lt;=55,"MIDDLE_AGED",L816&gt;55,"OLD-AGED")</f>
        <v>OLD-AGED</v>
      </c>
      <c r="N816" s="2" t="s">
        <v>20</v>
      </c>
      <c r="O816" t="str" cm="1">
        <f t="array" ref="O816">_xlfn.IFS(D816&lt;=50000,"low income",D816&lt;=100000,"Mid income",D816&gt;100000,"High income")</f>
        <v>Mid income</v>
      </c>
      <c r="P816" t="str" cm="1">
        <f t="array" ref="P816">_xlfn.IFS(E816&lt;=2,"&lt;=2",E816&gt;2,"&gt;2")</f>
        <v>&gt;2</v>
      </c>
    </row>
    <row r="817" spans="1:16">
      <c r="A817" s="2">
        <v>23333</v>
      </c>
      <c r="B817" s="2" t="s">
        <v>16</v>
      </c>
      <c r="C817" s="2" t="s">
        <v>16</v>
      </c>
      <c r="D817" s="6">
        <v>40000</v>
      </c>
      <c r="E817" s="2">
        <v>0</v>
      </c>
      <c r="F817" s="2" t="s">
        <v>23</v>
      </c>
      <c r="G817" s="2" t="s">
        <v>19</v>
      </c>
      <c r="H817" s="2" t="s">
        <v>26</v>
      </c>
      <c r="I817" s="2">
        <v>2</v>
      </c>
      <c r="J817" s="4" t="s">
        <v>32</v>
      </c>
      <c r="K817" s="2" t="s">
        <v>38</v>
      </c>
      <c r="L817" s="2">
        <v>30</v>
      </c>
      <c r="M817" t="str" cm="1">
        <f t="array" ref="M817">_xlfn.IFS(L817&lt;=35,"YOUNG_ADULTS",L817&lt;=55,"MIDDLE_AGED",L817&gt;55,"OLD-AGED")</f>
        <v>YOUNG_ADULTS</v>
      </c>
      <c r="O817" t="str" cm="1">
        <f t="array" ref="O817">_xlfn.IFS(D817&lt;=50000,"low income",D817&lt;=100000,"Mid income",D817&gt;100000,"High income")</f>
        <v>low income</v>
      </c>
      <c r="P817" t="str" cm="1">
        <f t="array" ref="P817">_xlfn.IFS(E817&lt;=2,"&lt;=2",E817&gt;2,"&gt;2")</f>
        <v>&lt;=2</v>
      </c>
    </row>
    <row r="818" spans="1:16">
      <c r="A818" s="2">
        <v>21660</v>
      </c>
      <c r="B818" s="2" t="s">
        <v>16</v>
      </c>
      <c r="C818" s="2" t="s">
        <v>17</v>
      </c>
      <c r="D818" s="6">
        <v>60000</v>
      </c>
      <c r="E818" s="2">
        <v>3</v>
      </c>
      <c r="F818" s="2" t="s">
        <v>37</v>
      </c>
      <c r="G818" s="2" t="s">
        <v>25</v>
      </c>
      <c r="H818" s="2" t="s">
        <v>20</v>
      </c>
      <c r="I818" s="2">
        <v>0</v>
      </c>
      <c r="J818" s="4" t="s">
        <v>27</v>
      </c>
      <c r="K818" s="2" t="s">
        <v>38</v>
      </c>
      <c r="L818" s="2">
        <v>43</v>
      </c>
      <c r="M818" t="str" cm="1">
        <f t="array" ref="M818">_xlfn.IFS(L818&lt;=35,"YOUNG_ADULTS",L818&lt;=55,"MIDDLE_AGED",L818&gt;55,"OLD-AGED")</f>
        <v>MIDDLE_AGED</v>
      </c>
      <c r="N818" s="2" t="s">
        <v>20</v>
      </c>
      <c r="O818" t="str" cm="1">
        <f t="array" ref="O818">_xlfn.IFS(D818&lt;=50000,"low income",D818&lt;=100000,"Mid income",D818&gt;100000,"High income")</f>
        <v>Mid income</v>
      </c>
      <c r="P818" t="str" cm="1">
        <f t="array" ref="P818">_xlfn.IFS(E818&lt;=2,"&lt;=2",E818&gt;2,"&gt;2")</f>
        <v>&gt;2</v>
      </c>
    </row>
    <row r="819" spans="1:16">
      <c r="A819" s="2">
        <v>17012</v>
      </c>
      <c r="B819" s="2" t="s">
        <v>16</v>
      </c>
      <c r="C819" s="2" t="s">
        <v>17</v>
      </c>
      <c r="D819" s="6">
        <v>60000</v>
      </c>
      <c r="E819" s="2">
        <v>3</v>
      </c>
      <c r="F819" s="2" t="s">
        <v>37</v>
      </c>
      <c r="G819" s="2" t="s">
        <v>25</v>
      </c>
      <c r="H819" s="2" t="s">
        <v>20</v>
      </c>
      <c r="I819" s="2">
        <v>0</v>
      </c>
      <c r="J819" s="4" t="s">
        <v>27</v>
      </c>
      <c r="K819" s="2" t="s">
        <v>38</v>
      </c>
      <c r="L819" s="2">
        <v>42</v>
      </c>
      <c r="M819" t="str" cm="1">
        <f t="array" ref="M819">_xlfn.IFS(L819&lt;=35,"YOUNG_ADULTS",L819&lt;=55,"MIDDLE_AGED",L819&gt;55,"OLD-AGED")</f>
        <v>MIDDLE_AGED</v>
      </c>
      <c r="N819" s="2" t="s">
        <v>20</v>
      </c>
      <c r="O819" t="str" cm="1">
        <f t="array" ref="O819">_xlfn.IFS(D819&lt;=50000,"low income",D819&lt;=100000,"Mid income",D819&gt;100000,"High income")</f>
        <v>Mid income</v>
      </c>
      <c r="P819" t="str" cm="1">
        <f t="array" ref="P819">_xlfn.IFS(E819&lt;=2,"&lt;=2",E819&gt;2,"&gt;2")</f>
        <v>&gt;2</v>
      </c>
    </row>
    <row r="820" spans="1:16">
      <c r="A820" s="2">
        <v>24514</v>
      </c>
      <c r="B820" s="2" t="s">
        <v>16</v>
      </c>
      <c r="C820" s="2" t="s">
        <v>16</v>
      </c>
      <c r="D820" s="6">
        <v>40000</v>
      </c>
      <c r="E820" s="2">
        <v>0</v>
      </c>
      <c r="F820" s="2" t="s">
        <v>23</v>
      </c>
      <c r="G820" s="2" t="s">
        <v>19</v>
      </c>
      <c r="H820" s="2" t="s">
        <v>20</v>
      </c>
      <c r="I820" s="2">
        <v>1</v>
      </c>
      <c r="J820" s="4" t="s">
        <v>29</v>
      </c>
      <c r="K820" s="2" t="s">
        <v>38</v>
      </c>
      <c r="L820" s="2">
        <v>30</v>
      </c>
      <c r="M820" t="str" cm="1">
        <f t="array" ref="M820">_xlfn.IFS(L820&lt;=35,"YOUNG_ADULTS",L820&lt;=55,"MIDDLE_AGED",L820&gt;55,"OLD-AGED")</f>
        <v>YOUNG_ADULTS</v>
      </c>
      <c r="O820" t="str" cm="1">
        <f t="array" ref="O820">_xlfn.IFS(D820&lt;=50000,"low income",D820&lt;=100000,"Mid income",D820&gt;100000,"High income")</f>
        <v>low income</v>
      </c>
      <c r="P820" t="str" cm="1">
        <f t="array" ref="P820">_xlfn.IFS(E820&lt;=2,"&lt;=2",E820&gt;2,"&gt;2")</f>
        <v>&lt;=2</v>
      </c>
    </row>
    <row r="821" spans="1:16">
      <c r="A821" s="2">
        <v>27505</v>
      </c>
      <c r="B821" s="2" t="s">
        <v>28</v>
      </c>
      <c r="C821" s="2" t="s">
        <v>17</v>
      </c>
      <c r="D821" s="6">
        <v>40000</v>
      </c>
      <c r="E821" s="2">
        <v>0</v>
      </c>
      <c r="F821" s="2" t="s">
        <v>33</v>
      </c>
      <c r="G821" s="2" t="s">
        <v>19</v>
      </c>
      <c r="H821" s="2" t="s">
        <v>20</v>
      </c>
      <c r="I821" s="2">
        <v>2</v>
      </c>
      <c r="J821" s="4" t="s">
        <v>29</v>
      </c>
      <c r="K821" s="2" t="s">
        <v>38</v>
      </c>
      <c r="L821" s="2">
        <v>30</v>
      </c>
      <c r="M821" t="str" cm="1">
        <f t="array" ref="M821">_xlfn.IFS(L821&lt;=35,"YOUNG_ADULTS",L821&lt;=55,"MIDDLE_AGED",L821&gt;55,"OLD-AGED")</f>
        <v>YOUNG_ADULTS</v>
      </c>
      <c r="O821" t="str" cm="1">
        <f t="array" ref="O821">_xlfn.IFS(D821&lt;=50000,"low income",D821&lt;=100000,"Mid income",D821&gt;100000,"High income")</f>
        <v>low income</v>
      </c>
      <c r="P821" t="str" cm="1">
        <f t="array" ref="P821">_xlfn.IFS(E821&lt;=2,"&lt;=2",E821&gt;2,"&gt;2")</f>
        <v>&lt;=2</v>
      </c>
    </row>
    <row r="822" spans="1:16">
      <c r="A822" s="2">
        <v>29243</v>
      </c>
      <c r="B822" s="2" t="s">
        <v>28</v>
      </c>
      <c r="C822" s="2" t="s">
        <v>16</v>
      </c>
      <c r="D822" s="6">
        <v>110000</v>
      </c>
      <c r="E822" s="2">
        <v>1</v>
      </c>
      <c r="F822" s="2" t="s">
        <v>18</v>
      </c>
      <c r="G822" s="2" t="s">
        <v>34</v>
      </c>
      <c r="H822" s="2" t="s">
        <v>20</v>
      </c>
      <c r="I822" s="2">
        <v>1</v>
      </c>
      <c r="J822" s="4" t="s">
        <v>29</v>
      </c>
      <c r="K822" s="2" t="s">
        <v>38</v>
      </c>
      <c r="L822" s="2">
        <v>43</v>
      </c>
      <c r="M822" t="str" cm="1">
        <f t="array" ref="M822">_xlfn.IFS(L822&lt;=35,"YOUNG_ADULTS",L822&lt;=55,"MIDDLE_AGED",L822&gt;55,"OLD-AGED")</f>
        <v>MIDDLE_AGED</v>
      </c>
      <c r="O822" t="str" cm="1">
        <f t="array" ref="O822">_xlfn.IFS(D822&lt;=50000,"low income",D822&lt;=100000,"Mid income",D822&gt;100000,"High income")</f>
        <v>High income</v>
      </c>
      <c r="P822" t="str" cm="1">
        <f t="array" ref="P822">_xlfn.IFS(E822&lt;=2,"&lt;=2",E822&gt;2,"&gt;2")</f>
        <v>&lt;=2</v>
      </c>
    </row>
    <row r="823" spans="1:16">
      <c r="A823" s="2">
        <v>26582</v>
      </c>
      <c r="B823" s="2" t="s">
        <v>16</v>
      </c>
      <c r="C823" s="2" t="s">
        <v>16</v>
      </c>
      <c r="D823" s="6">
        <v>60000</v>
      </c>
      <c r="E823" s="2">
        <v>0</v>
      </c>
      <c r="F823" s="2" t="s">
        <v>23</v>
      </c>
      <c r="G823" s="2" t="s">
        <v>19</v>
      </c>
      <c r="H823" s="2" t="s">
        <v>20</v>
      </c>
      <c r="I823" s="2">
        <v>2</v>
      </c>
      <c r="J823" s="4" t="s">
        <v>29</v>
      </c>
      <c r="K823" s="2" t="s">
        <v>38</v>
      </c>
      <c r="L823" s="2">
        <v>33</v>
      </c>
      <c r="M823" t="str" cm="1">
        <f t="array" ref="M823">_xlfn.IFS(L823&lt;=35,"YOUNG_ADULTS",L823&lt;=55,"MIDDLE_AGED",L823&gt;55,"OLD-AGED")</f>
        <v>YOUNG_ADULTS</v>
      </c>
      <c r="N823" s="2" t="s">
        <v>20</v>
      </c>
      <c r="O823" t="str" cm="1">
        <f t="array" ref="O823">_xlfn.IFS(D823&lt;=50000,"low income",D823&lt;=100000,"Mid income",D823&gt;100000,"High income")</f>
        <v>Mid income</v>
      </c>
      <c r="P823" t="str" cm="1">
        <f t="array" ref="P823">_xlfn.IFS(E823&lt;=2,"&lt;=2",E823&gt;2,"&gt;2")</f>
        <v>&lt;=2</v>
      </c>
    </row>
    <row r="824" spans="1:16">
      <c r="A824" s="2">
        <v>14271</v>
      </c>
      <c r="B824" s="2" t="s">
        <v>16</v>
      </c>
      <c r="C824" s="2" t="s">
        <v>16</v>
      </c>
      <c r="D824" s="6">
        <v>30000</v>
      </c>
      <c r="E824" s="2">
        <v>0</v>
      </c>
      <c r="F824" s="2" t="s">
        <v>33</v>
      </c>
      <c r="G824" s="2" t="s">
        <v>19</v>
      </c>
      <c r="H824" s="2" t="s">
        <v>20</v>
      </c>
      <c r="I824" s="2">
        <v>2</v>
      </c>
      <c r="J824" s="4" t="s">
        <v>29</v>
      </c>
      <c r="K824" s="2" t="s">
        <v>38</v>
      </c>
      <c r="L824" s="2">
        <v>32</v>
      </c>
      <c r="M824" t="str" cm="1">
        <f t="array" ref="M824">_xlfn.IFS(L824&lt;=35,"YOUNG_ADULTS",L824&lt;=55,"MIDDLE_AGED",L824&gt;55,"OLD-AGED")</f>
        <v>YOUNG_ADULTS</v>
      </c>
      <c r="O824" t="str" cm="1">
        <f t="array" ref="O824">_xlfn.IFS(D824&lt;=50000,"low income",D824&lt;=100000,"Mid income",D824&gt;100000,"High income")</f>
        <v>low income</v>
      </c>
      <c r="P824" t="str" cm="1">
        <f t="array" ref="P824">_xlfn.IFS(E824&lt;=2,"&lt;=2",E824&gt;2,"&gt;2")</f>
        <v>&lt;=2</v>
      </c>
    </row>
    <row r="825" spans="1:16">
      <c r="A825" s="2">
        <v>23041</v>
      </c>
      <c r="B825" s="2" t="s">
        <v>28</v>
      </c>
      <c r="C825" s="2" t="s">
        <v>17</v>
      </c>
      <c r="D825" s="6">
        <v>70000</v>
      </c>
      <c r="E825" s="2">
        <v>4</v>
      </c>
      <c r="F825" s="2" t="s">
        <v>33</v>
      </c>
      <c r="G825" s="2" t="s">
        <v>25</v>
      </c>
      <c r="H825" s="2" t="s">
        <v>20</v>
      </c>
      <c r="I825" s="2">
        <v>0</v>
      </c>
      <c r="J825" s="4" t="s">
        <v>29</v>
      </c>
      <c r="K825" s="2" t="s">
        <v>38</v>
      </c>
      <c r="L825" s="2">
        <v>50</v>
      </c>
      <c r="M825" t="str" cm="1">
        <f t="array" ref="M825">_xlfn.IFS(L825&lt;=35,"YOUNG_ADULTS",L825&lt;=55,"MIDDLE_AGED",L825&gt;55,"OLD-AGED")</f>
        <v>MIDDLE_AGED</v>
      </c>
      <c r="N825" s="2" t="s">
        <v>20</v>
      </c>
      <c r="O825" t="str" cm="1">
        <f t="array" ref="O825">_xlfn.IFS(D825&lt;=50000,"low income",D825&lt;=100000,"Mid income",D825&gt;100000,"High income")</f>
        <v>Mid income</v>
      </c>
      <c r="P825" t="str" cm="1">
        <f t="array" ref="P825">_xlfn.IFS(E825&lt;=2,"&lt;=2",E825&gt;2,"&gt;2")</f>
        <v>&gt;2</v>
      </c>
    </row>
    <row r="826" spans="1:16">
      <c r="A826" s="2">
        <v>29048</v>
      </c>
      <c r="B826" s="2" t="s">
        <v>28</v>
      </c>
      <c r="C826" s="2" t="s">
        <v>16</v>
      </c>
      <c r="D826" s="6">
        <v>110000</v>
      </c>
      <c r="E826" s="2">
        <v>2</v>
      </c>
      <c r="F826" s="2" t="s">
        <v>18</v>
      </c>
      <c r="G826" s="2" t="s">
        <v>34</v>
      </c>
      <c r="H826" s="2" t="s">
        <v>26</v>
      </c>
      <c r="I826" s="2">
        <v>3</v>
      </c>
      <c r="J826" s="4" t="s">
        <v>21</v>
      </c>
      <c r="K826" s="2" t="s">
        <v>38</v>
      </c>
      <c r="L826" s="2">
        <v>37</v>
      </c>
      <c r="M826" t="str" cm="1">
        <f t="array" ref="M826">_xlfn.IFS(L826&lt;=35,"YOUNG_ADULTS",L826&lt;=55,"MIDDLE_AGED",L826&gt;55,"OLD-AGED")</f>
        <v>MIDDLE_AGED</v>
      </c>
      <c r="N826" s="2" t="s">
        <v>20</v>
      </c>
      <c r="O826" t="str" cm="1">
        <f t="array" ref="O826">_xlfn.IFS(D826&lt;=50000,"low income",D826&lt;=100000,"Mid income",D826&gt;100000,"High income")</f>
        <v>High income</v>
      </c>
      <c r="P826" t="str" cm="1">
        <f t="array" ref="P826">_xlfn.IFS(E826&lt;=2,"&lt;=2",E826&gt;2,"&gt;2")</f>
        <v>&lt;=2</v>
      </c>
    </row>
    <row r="827" spans="1:16">
      <c r="A827" s="2">
        <v>24433</v>
      </c>
      <c r="B827" s="2" t="s">
        <v>16</v>
      </c>
      <c r="C827" s="2" t="s">
        <v>16</v>
      </c>
      <c r="D827" s="6">
        <v>70000</v>
      </c>
      <c r="E827" s="2">
        <v>3</v>
      </c>
      <c r="F827" s="2" t="s">
        <v>33</v>
      </c>
      <c r="G827" s="2" t="s">
        <v>25</v>
      </c>
      <c r="H827" s="2" t="s">
        <v>26</v>
      </c>
      <c r="I827" s="2">
        <v>1</v>
      </c>
      <c r="J827" s="4" t="s">
        <v>32</v>
      </c>
      <c r="K827" s="2" t="s">
        <v>38</v>
      </c>
      <c r="L827" s="2">
        <v>52</v>
      </c>
      <c r="M827" t="str" cm="1">
        <f t="array" ref="M827">_xlfn.IFS(L827&lt;=35,"YOUNG_ADULTS",L827&lt;=55,"MIDDLE_AGED",L827&gt;55,"OLD-AGED")</f>
        <v>MIDDLE_AGED</v>
      </c>
      <c r="N827" s="2" t="s">
        <v>20</v>
      </c>
      <c r="O827" t="str" cm="1">
        <f t="array" ref="O827">_xlfn.IFS(D827&lt;=50000,"low income",D827&lt;=100000,"Mid income",D827&gt;100000,"High income")</f>
        <v>Mid income</v>
      </c>
      <c r="P827" t="str" cm="1">
        <f t="array" ref="P827">_xlfn.IFS(E827&lt;=2,"&lt;=2",E827&gt;2,"&gt;2")</f>
        <v>&gt;2</v>
      </c>
    </row>
    <row r="828" spans="1:16">
      <c r="A828" s="2">
        <v>15501</v>
      </c>
      <c r="B828" s="2" t="s">
        <v>16</v>
      </c>
      <c r="C828" s="2" t="s">
        <v>16</v>
      </c>
      <c r="D828" s="6">
        <v>70000</v>
      </c>
      <c r="E828" s="2">
        <v>4</v>
      </c>
      <c r="F828" s="2" t="s">
        <v>37</v>
      </c>
      <c r="G828" s="2" t="s">
        <v>25</v>
      </c>
      <c r="H828" s="2" t="s">
        <v>20</v>
      </c>
      <c r="I828" s="2">
        <v>0</v>
      </c>
      <c r="J828" s="4" t="s">
        <v>27</v>
      </c>
      <c r="K828" s="2" t="s">
        <v>38</v>
      </c>
      <c r="L828" s="2">
        <v>36</v>
      </c>
      <c r="M828" t="str" cm="1">
        <f t="array" ref="M828">_xlfn.IFS(L828&lt;=35,"YOUNG_ADULTS",L828&lt;=55,"MIDDLE_AGED",L828&gt;55,"OLD-AGED")</f>
        <v>MIDDLE_AGED</v>
      </c>
      <c r="N828" s="2" t="s">
        <v>20</v>
      </c>
      <c r="O828" t="str" cm="1">
        <f t="array" ref="O828">_xlfn.IFS(D828&lt;=50000,"low income",D828&lt;=100000,"Mid income",D828&gt;100000,"High income")</f>
        <v>Mid income</v>
      </c>
      <c r="P828" t="str" cm="1">
        <f t="array" ref="P828">_xlfn.IFS(E828&lt;=2,"&lt;=2",E828&gt;2,"&gt;2")</f>
        <v>&gt;2</v>
      </c>
    </row>
    <row r="829" spans="1:16">
      <c r="A829" s="2">
        <v>13911</v>
      </c>
      <c r="B829" s="2" t="s">
        <v>28</v>
      </c>
      <c r="C829" s="2" t="s">
        <v>17</v>
      </c>
      <c r="D829" s="6">
        <v>80000</v>
      </c>
      <c r="E829" s="2">
        <v>3</v>
      </c>
      <c r="F829" s="2" t="s">
        <v>18</v>
      </c>
      <c r="G829" s="2" t="s">
        <v>19</v>
      </c>
      <c r="H829" s="2" t="s">
        <v>20</v>
      </c>
      <c r="I829" s="2">
        <v>2</v>
      </c>
      <c r="J829" s="4" t="s">
        <v>27</v>
      </c>
      <c r="K829" s="2" t="s">
        <v>38</v>
      </c>
      <c r="L829" s="2">
        <v>41</v>
      </c>
      <c r="M829" t="str" cm="1">
        <f t="array" ref="M829">_xlfn.IFS(L829&lt;=35,"YOUNG_ADULTS",L829&lt;=55,"MIDDLE_AGED",L829&gt;55,"OLD-AGED")</f>
        <v>MIDDLE_AGED</v>
      </c>
      <c r="N829" s="2" t="s">
        <v>20</v>
      </c>
      <c r="O829" t="str" cm="1">
        <f t="array" ref="O829">_xlfn.IFS(D829&lt;=50000,"low income",D829&lt;=100000,"Mid income",D829&gt;100000,"High income")</f>
        <v>Mid income</v>
      </c>
      <c r="P829" t="str" cm="1">
        <f t="array" ref="P829">_xlfn.IFS(E829&lt;=2,"&lt;=2",E829&gt;2,"&gt;2")</f>
        <v>&gt;2</v>
      </c>
    </row>
    <row r="830" spans="1:16">
      <c r="A830" s="2">
        <v>20421</v>
      </c>
      <c r="B830" s="2" t="s">
        <v>28</v>
      </c>
      <c r="C830" s="2" t="s">
        <v>17</v>
      </c>
      <c r="D830" s="6">
        <v>40000</v>
      </c>
      <c r="E830" s="2">
        <v>0</v>
      </c>
      <c r="F830" s="2" t="s">
        <v>35</v>
      </c>
      <c r="G830" s="2" t="s">
        <v>24</v>
      </c>
      <c r="H830" s="2" t="s">
        <v>20</v>
      </c>
      <c r="I830" s="2">
        <v>2</v>
      </c>
      <c r="J830" s="4" t="s">
        <v>29</v>
      </c>
      <c r="K830" s="2" t="s">
        <v>38</v>
      </c>
      <c r="L830" s="2">
        <v>26</v>
      </c>
      <c r="M830" t="str" cm="1">
        <f t="array" ref="M830">_xlfn.IFS(L830&lt;=35,"YOUNG_ADULTS",L830&lt;=55,"MIDDLE_AGED",L830&gt;55,"OLD-AGED")</f>
        <v>YOUNG_ADULTS</v>
      </c>
      <c r="O830" t="str" cm="1">
        <f t="array" ref="O830">_xlfn.IFS(D830&lt;=50000,"low income",D830&lt;=100000,"Mid income",D830&gt;100000,"High income")</f>
        <v>low income</v>
      </c>
      <c r="P830" t="str" cm="1">
        <f t="array" ref="P830">_xlfn.IFS(E830&lt;=2,"&lt;=2",E830&gt;2,"&gt;2")</f>
        <v>&lt;=2</v>
      </c>
    </row>
    <row r="831" spans="1:16">
      <c r="A831" s="2">
        <v>16009</v>
      </c>
      <c r="B831" s="2" t="s">
        <v>28</v>
      </c>
      <c r="C831" s="2" t="s">
        <v>16</v>
      </c>
      <c r="D831" s="6">
        <v>170000</v>
      </c>
      <c r="E831" s="2">
        <v>1</v>
      </c>
      <c r="F831" s="2" t="s">
        <v>37</v>
      </c>
      <c r="G831" s="2" t="s">
        <v>34</v>
      </c>
      <c r="H831" s="2" t="s">
        <v>26</v>
      </c>
      <c r="I831" s="2">
        <v>4</v>
      </c>
      <c r="J831" s="4" t="s">
        <v>21</v>
      </c>
      <c r="K831" s="2" t="s">
        <v>38</v>
      </c>
      <c r="L831" s="2">
        <v>66</v>
      </c>
      <c r="M831" t="str" cm="1">
        <f t="array" ref="M831">_xlfn.IFS(L831&lt;=35,"YOUNG_ADULTS",L831&lt;=55,"MIDDLE_AGED",L831&gt;55,"OLD-AGED")</f>
        <v>OLD-AGED</v>
      </c>
      <c r="O831" t="str" cm="1">
        <f t="array" ref="O831">_xlfn.IFS(D831&lt;=50000,"low income",D831&lt;=100000,"Mid income",D831&gt;100000,"High income")</f>
        <v>High income</v>
      </c>
      <c r="P831" t="str" cm="1">
        <f t="array" ref="P831">_xlfn.IFS(E831&lt;=2,"&lt;=2",E831&gt;2,"&gt;2")</f>
        <v>&lt;=2</v>
      </c>
    </row>
    <row r="832" spans="1:16">
      <c r="A832" s="2">
        <v>18411</v>
      </c>
      <c r="B832" s="2" t="s">
        <v>16</v>
      </c>
      <c r="C832" s="2" t="s">
        <v>16</v>
      </c>
      <c r="D832" s="6">
        <v>60000</v>
      </c>
      <c r="E832" s="2">
        <v>2</v>
      </c>
      <c r="F832" s="2" t="s">
        <v>33</v>
      </c>
      <c r="G832" s="2" t="s">
        <v>25</v>
      </c>
      <c r="H832" s="2" t="s">
        <v>26</v>
      </c>
      <c r="I832" s="2">
        <v>2</v>
      </c>
      <c r="J832" s="4" t="s">
        <v>29</v>
      </c>
      <c r="K832" s="2" t="s">
        <v>38</v>
      </c>
      <c r="L832" s="2">
        <v>51</v>
      </c>
      <c r="M832" t="str" cm="1">
        <f t="array" ref="M832">_xlfn.IFS(L832&lt;=35,"YOUNG_ADULTS",L832&lt;=55,"MIDDLE_AGED",L832&gt;55,"OLD-AGED")</f>
        <v>MIDDLE_AGED</v>
      </c>
      <c r="O832" t="str" cm="1">
        <f t="array" ref="O832">_xlfn.IFS(D832&lt;=50000,"low income",D832&lt;=100000,"Mid income",D832&gt;100000,"High income")</f>
        <v>Mid income</v>
      </c>
      <c r="P832" t="str" cm="1">
        <f t="array" ref="P832">_xlfn.IFS(E832&lt;=2,"&lt;=2",E832&gt;2,"&gt;2")</f>
        <v>&lt;=2</v>
      </c>
    </row>
    <row r="833" spans="1:16">
      <c r="A833" s="2">
        <v>19163</v>
      </c>
      <c r="B833" s="2" t="s">
        <v>16</v>
      </c>
      <c r="C833" s="2" t="s">
        <v>17</v>
      </c>
      <c r="D833" s="6">
        <v>70000</v>
      </c>
      <c r="E833" s="2">
        <v>4</v>
      </c>
      <c r="F833" s="2" t="s">
        <v>18</v>
      </c>
      <c r="G833" s="2" t="s">
        <v>25</v>
      </c>
      <c r="H833" s="2" t="s">
        <v>20</v>
      </c>
      <c r="I833" s="2">
        <v>2</v>
      </c>
      <c r="J833" s="4" t="s">
        <v>21</v>
      </c>
      <c r="K833" s="2" t="s">
        <v>38</v>
      </c>
      <c r="L833" s="2">
        <v>43</v>
      </c>
      <c r="M833" t="str" cm="1">
        <f t="array" ref="M833">_xlfn.IFS(L833&lt;=35,"YOUNG_ADULTS",L833&lt;=55,"MIDDLE_AGED",L833&gt;55,"OLD-AGED")</f>
        <v>MIDDLE_AGED</v>
      </c>
      <c r="N833" s="2" t="s">
        <v>20</v>
      </c>
      <c r="O833" t="str" cm="1">
        <f t="array" ref="O833">_xlfn.IFS(D833&lt;=50000,"low income",D833&lt;=100000,"Mid income",D833&gt;100000,"High income")</f>
        <v>Mid income</v>
      </c>
      <c r="P833" t="str" cm="1">
        <f t="array" ref="P833">_xlfn.IFS(E833&lt;=2,"&lt;=2",E833&gt;2,"&gt;2")</f>
        <v>&gt;2</v>
      </c>
    </row>
    <row r="834" spans="1:16">
      <c r="A834" s="2">
        <v>18572</v>
      </c>
      <c r="B834" s="2" t="s">
        <v>16</v>
      </c>
      <c r="C834" s="2" t="s">
        <v>17</v>
      </c>
      <c r="D834" s="6">
        <v>60000</v>
      </c>
      <c r="E834" s="2">
        <v>0</v>
      </c>
      <c r="F834" s="2" t="s">
        <v>37</v>
      </c>
      <c r="G834" s="2" t="s">
        <v>25</v>
      </c>
      <c r="H834" s="2" t="s">
        <v>20</v>
      </c>
      <c r="I834" s="2">
        <v>0</v>
      </c>
      <c r="J834" s="4" t="s">
        <v>21</v>
      </c>
      <c r="K834" s="2" t="s">
        <v>38</v>
      </c>
      <c r="L834" s="2">
        <v>39</v>
      </c>
      <c r="M834" t="str" cm="1">
        <f t="array" ref="M834">_xlfn.IFS(L834&lt;=35,"YOUNG_ADULTS",L834&lt;=55,"MIDDLE_AGED",L834&gt;55,"OLD-AGED")</f>
        <v>MIDDLE_AGED</v>
      </c>
      <c r="O834" t="str" cm="1">
        <f t="array" ref="O834">_xlfn.IFS(D834&lt;=50000,"low income",D834&lt;=100000,"Mid income",D834&gt;100000,"High income")</f>
        <v>Mid income</v>
      </c>
      <c r="P834" t="str" cm="1">
        <f t="array" ref="P834">_xlfn.IFS(E834&lt;=2,"&lt;=2",E834&gt;2,"&gt;2")</f>
        <v>&lt;=2</v>
      </c>
    </row>
    <row r="835" spans="1:16">
      <c r="A835" s="2">
        <v>27540</v>
      </c>
      <c r="B835" s="2" t="s">
        <v>28</v>
      </c>
      <c r="C835" s="2" t="s">
        <v>17</v>
      </c>
      <c r="D835" s="6">
        <v>70000</v>
      </c>
      <c r="E835" s="2">
        <v>0</v>
      </c>
      <c r="F835" s="2" t="s">
        <v>18</v>
      </c>
      <c r="G835" s="2" t="s">
        <v>25</v>
      </c>
      <c r="H835" s="2" t="s">
        <v>26</v>
      </c>
      <c r="I835" s="2">
        <v>1</v>
      </c>
      <c r="J835" s="4" t="s">
        <v>21</v>
      </c>
      <c r="K835" s="2" t="s">
        <v>38</v>
      </c>
      <c r="L835" s="2">
        <v>37</v>
      </c>
      <c r="M835" t="str" cm="1">
        <f t="array" ref="M835">_xlfn.IFS(L835&lt;=35,"YOUNG_ADULTS",L835&lt;=55,"MIDDLE_AGED",L835&gt;55,"OLD-AGED")</f>
        <v>MIDDLE_AGED</v>
      </c>
      <c r="N835" s="2" t="s">
        <v>20</v>
      </c>
      <c r="O835" t="str" cm="1">
        <f t="array" ref="O835">_xlfn.IFS(D835&lt;=50000,"low income",D835&lt;=100000,"Mid income",D835&gt;100000,"High income")</f>
        <v>Mid income</v>
      </c>
      <c r="P835" t="str" cm="1">
        <f t="array" ref="P835">_xlfn.IFS(E835&lt;=2,"&lt;=2",E835&gt;2,"&gt;2")</f>
        <v>&lt;=2</v>
      </c>
    </row>
    <row r="836" spans="1:16">
      <c r="A836" s="2">
        <v>19889</v>
      </c>
      <c r="B836" s="2" t="s">
        <v>28</v>
      </c>
      <c r="C836" s="2" t="s">
        <v>17</v>
      </c>
      <c r="D836" s="6">
        <v>70000</v>
      </c>
      <c r="E836" s="2">
        <v>2</v>
      </c>
      <c r="F836" s="2" t="s">
        <v>35</v>
      </c>
      <c r="G836" s="2" t="s">
        <v>19</v>
      </c>
      <c r="H836" s="2" t="s">
        <v>26</v>
      </c>
      <c r="I836" s="2">
        <v>2</v>
      </c>
      <c r="J836" s="4" t="s">
        <v>27</v>
      </c>
      <c r="K836" s="2" t="s">
        <v>38</v>
      </c>
      <c r="L836" s="2">
        <v>54</v>
      </c>
      <c r="M836" t="str" cm="1">
        <f t="array" ref="M836">_xlfn.IFS(L836&lt;=35,"YOUNG_ADULTS",L836&lt;=55,"MIDDLE_AGED",L836&gt;55,"OLD-AGED")</f>
        <v>MIDDLE_AGED</v>
      </c>
      <c r="N836" s="2" t="s">
        <v>20</v>
      </c>
      <c r="O836" t="str" cm="1">
        <f t="array" ref="O836">_xlfn.IFS(D836&lt;=50000,"low income",D836&lt;=100000,"Mid income",D836&gt;100000,"High income")</f>
        <v>Mid income</v>
      </c>
      <c r="P836" t="str" cm="1">
        <f t="array" ref="P836">_xlfn.IFS(E836&lt;=2,"&lt;=2",E836&gt;2,"&gt;2")</f>
        <v>&lt;=2</v>
      </c>
    </row>
    <row r="837" spans="1:16">
      <c r="A837" s="2">
        <v>12922</v>
      </c>
      <c r="B837" s="2" t="s">
        <v>28</v>
      </c>
      <c r="C837" s="2" t="s">
        <v>17</v>
      </c>
      <c r="D837" s="6">
        <v>60000</v>
      </c>
      <c r="E837" s="2">
        <v>3</v>
      </c>
      <c r="F837" s="2" t="s">
        <v>18</v>
      </c>
      <c r="G837" s="2" t="s">
        <v>19</v>
      </c>
      <c r="H837" s="2" t="s">
        <v>20</v>
      </c>
      <c r="I837" s="2">
        <v>0</v>
      </c>
      <c r="J837" s="4" t="s">
        <v>27</v>
      </c>
      <c r="K837" s="2" t="s">
        <v>38</v>
      </c>
      <c r="L837" s="2">
        <v>40</v>
      </c>
      <c r="M837" t="str" cm="1">
        <f t="array" ref="M837">_xlfn.IFS(L837&lt;=35,"YOUNG_ADULTS",L837&lt;=55,"MIDDLE_AGED",L837&gt;55,"OLD-AGED")</f>
        <v>MIDDLE_AGED</v>
      </c>
      <c r="N837" s="2" t="s">
        <v>20</v>
      </c>
      <c r="O837" t="str" cm="1">
        <f t="array" ref="O837">_xlfn.IFS(D837&lt;=50000,"low income",D837&lt;=100000,"Mid income",D837&gt;100000,"High income")</f>
        <v>Mid income</v>
      </c>
      <c r="P837" t="str" cm="1">
        <f t="array" ref="P837">_xlfn.IFS(E837&lt;=2,"&lt;=2",E837&gt;2,"&gt;2")</f>
        <v>&gt;2</v>
      </c>
    </row>
    <row r="838" spans="1:16">
      <c r="A838" s="2">
        <v>18891</v>
      </c>
      <c r="B838" s="2" t="s">
        <v>16</v>
      </c>
      <c r="C838" s="2" t="s">
        <v>17</v>
      </c>
      <c r="D838" s="6">
        <v>40000</v>
      </c>
      <c r="E838" s="2">
        <v>0</v>
      </c>
      <c r="F838" s="2" t="s">
        <v>23</v>
      </c>
      <c r="G838" s="2" t="s">
        <v>19</v>
      </c>
      <c r="H838" s="2" t="s">
        <v>20</v>
      </c>
      <c r="I838" s="2">
        <v>2</v>
      </c>
      <c r="J838" s="4" t="s">
        <v>29</v>
      </c>
      <c r="K838" s="2" t="s">
        <v>38</v>
      </c>
      <c r="L838" s="2">
        <v>28</v>
      </c>
      <c r="M838" t="str" cm="1">
        <f t="array" ref="M838">_xlfn.IFS(L838&lt;=35,"YOUNG_ADULTS",L838&lt;=55,"MIDDLE_AGED",L838&gt;55,"OLD-AGED")</f>
        <v>YOUNG_ADULTS</v>
      </c>
      <c r="O838" t="str" cm="1">
        <f t="array" ref="O838">_xlfn.IFS(D838&lt;=50000,"low income",D838&lt;=100000,"Mid income",D838&gt;100000,"High income")</f>
        <v>low income</v>
      </c>
      <c r="P838" t="str" cm="1">
        <f t="array" ref="P838">_xlfn.IFS(E838&lt;=2,"&lt;=2",E838&gt;2,"&gt;2")</f>
        <v>&lt;=2</v>
      </c>
    </row>
    <row r="839" spans="1:16">
      <c r="A839" s="2">
        <v>16773</v>
      </c>
      <c r="B839" s="2" t="s">
        <v>16</v>
      </c>
      <c r="C839" s="2" t="s">
        <v>16</v>
      </c>
      <c r="D839" s="6">
        <v>60000</v>
      </c>
      <c r="E839" s="2">
        <v>1</v>
      </c>
      <c r="F839" s="2" t="s">
        <v>37</v>
      </c>
      <c r="G839" s="2" t="s">
        <v>19</v>
      </c>
      <c r="H839" s="2" t="s">
        <v>20</v>
      </c>
      <c r="I839" s="2">
        <v>0</v>
      </c>
      <c r="J839" s="4" t="s">
        <v>21</v>
      </c>
      <c r="K839" s="2" t="s">
        <v>38</v>
      </c>
      <c r="L839" s="2">
        <v>33</v>
      </c>
      <c r="M839" t="str" cm="1">
        <f t="array" ref="M839">_xlfn.IFS(L839&lt;=35,"YOUNG_ADULTS",L839&lt;=55,"MIDDLE_AGED",L839&gt;55,"OLD-AGED")</f>
        <v>YOUNG_ADULTS</v>
      </c>
      <c r="O839" t="str" cm="1">
        <f t="array" ref="O839">_xlfn.IFS(D839&lt;=50000,"low income",D839&lt;=100000,"Mid income",D839&gt;100000,"High income")</f>
        <v>Mid income</v>
      </c>
      <c r="P839" t="str" cm="1">
        <f t="array" ref="P839">_xlfn.IFS(E839&lt;=2,"&lt;=2",E839&gt;2,"&gt;2")</f>
        <v>&lt;=2</v>
      </c>
    </row>
    <row r="840" spans="1:16">
      <c r="A840" s="2">
        <v>19143</v>
      </c>
      <c r="B840" s="2" t="s">
        <v>28</v>
      </c>
      <c r="C840" s="2" t="s">
        <v>17</v>
      </c>
      <c r="D840" s="6">
        <v>80000</v>
      </c>
      <c r="E840" s="2">
        <v>3</v>
      </c>
      <c r="F840" s="2" t="s">
        <v>18</v>
      </c>
      <c r="G840" s="2" t="s">
        <v>19</v>
      </c>
      <c r="H840" s="2" t="s">
        <v>20</v>
      </c>
      <c r="I840" s="2">
        <v>2</v>
      </c>
      <c r="J840" s="4" t="s">
        <v>27</v>
      </c>
      <c r="K840" s="2" t="s">
        <v>38</v>
      </c>
      <c r="L840" s="2">
        <v>41</v>
      </c>
      <c r="M840" t="str" cm="1">
        <f t="array" ref="M840">_xlfn.IFS(L840&lt;=35,"YOUNG_ADULTS",L840&lt;=55,"MIDDLE_AGED",L840&gt;55,"OLD-AGED")</f>
        <v>MIDDLE_AGED</v>
      </c>
      <c r="N840" s="2" t="s">
        <v>20</v>
      </c>
      <c r="O840" t="str" cm="1">
        <f t="array" ref="O840">_xlfn.IFS(D840&lt;=50000,"low income",D840&lt;=100000,"Mid income",D840&gt;100000,"High income")</f>
        <v>Mid income</v>
      </c>
      <c r="P840" t="str" cm="1">
        <f t="array" ref="P840">_xlfn.IFS(E840&lt;=2,"&lt;=2",E840&gt;2,"&gt;2")</f>
        <v>&gt;2</v>
      </c>
    </row>
    <row r="841" spans="1:16">
      <c r="A841" s="2">
        <v>23882</v>
      </c>
      <c r="B841" s="2" t="s">
        <v>28</v>
      </c>
      <c r="C841" s="2" t="s">
        <v>17</v>
      </c>
      <c r="D841" s="6">
        <v>80000</v>
      </c>
      <c r="E841" s="2">
        <v>3</v>
      </c>
      <c r="F841" s="2" t="s">
        <v>37</v>
      </c>
      <c r="G841" s="2" t="s">
        <v>25</v>
      </c>
      <c r="H841" s="2" t="s">
        <v>20</v>
      </c>
      <c r="I841" s="2">
        <v>0</v>
      </c>
      <c r="J841" s="4" t="s">
        <v>21</v>
      </c>
      <c r="K841" s="2" t="s">
        <v>38</v>
      </c>
      <c r="L841" s="2">
        <v>37</v>
      </c>
      <c r="M841" t="str" cm="1">
        <f t="array" ref="M841">_xlfn.IFS(L841&lt;=35,"YOUNG_ADULTS",L841&lt;=55,"MIDDLE_AGED",L841&gt;55,"OLD-AGED")</f>
        <v>MIDDLE_AGED</v>
      </c>
      <c r="N841" s="2" t="s">
        <v>20</v>
      </c>
      <c r="O841" t="str" cm="1">
        <f t="array" ref="O841">_xlfn.IFS(D841&lt;=50000,"low income",D841&lt;=100000,"Mid income",D841&gt;100000,"High income")</f>
        <v>Mid income</v>
      </c>
      <c r="P841" t="str" cm="1">
        <f t="array" ref="P841">_xlfn.IFS(E841&lt;=2,"&lt;=2",E841&gt;2,"&gt;2")</f>
        <v>&gt;2</v>
      </c>
    </row>
    <row r="842" spans="1:16">
      <c r="A842" s="2">
        <v>11233</v>
      </c>
      <c r="B842" s="2" t="s">
        <v>16</v>
      </c>
      <c r="C842" s="2" t="s">
        <v>16</v>
      </c>
      <c r="D842" s="6">
        <v>70000</v>
      </c>
      <c r="E842" s="2">
        <v>4</v>
      </c>
      <c r="F842" s="2" t="s">
        <v>23</v>
      </c>
      <c r="G842" s="2" t="s">
        <v>25</v>
      </c>
      <c r="H842" s="2" t="s">
        <v>20</v>
      </c>
      <c r="I842" s="2">
        <v>2</v>
      </c>
      <c r="J842" s="4" t="s">
        <v>36</v>
      </c>
      <c r="K842" s="2" t="s">
        <v>38</v>
      </c>
      <c r="L842" s="2">
        <v>53</v>
      </c>
      <c r="M842" t="str" cm="1">
        <f t="array" ref="M842">_xlfn.IFS(L842&lt;=35,"YOUNG_ADULTS",L842&lt;=55,"MIDDLE_AGED",L842&gt;55,"OLD-AGED")</f>
        <v>MIDDLE_AGED</v>
      </c>
      <c r="O842" t="str" cm="1">
        <f t="array" ref="O842">_xlfn.IFS(D842&lt;=50000,"low income",D842&lt;=100000,"Mid income",D842&gt;100000,"High income")</f>
        <v>Mid income</v>
      </c>
      <c r="P842" t="str" cm="1">
        <f t="array" ref="P842">_xlfn.IFS(E842&lt;=2,"&lt;=2",E842&gt;2,"&gt;2")</f>
        <v>&gt;2</v>
      </c>
    </row>
    <row r="843" spans="1:16">
      <c r="A843" s="2">
        <v>12056</v>
      </c>
      <c r="B843" s="2" t="s">
        <v>16</v>
      </c>
      <c r="C843" s="2" t="s">
        <v>16</v>
      </c>
      <c r="D843" s="6">
        <v>120000</v>
      </c>
      <c r="E843" s="2">
        <v>2</v>
      </c>
      <c r="F843" s="2" t="s">
        <v>37</v>
      </c>
      <c r="G843" s="2" t="s">
        <v>34</v>
      </c>
      <c r="H843" s="2" t="s">
        <v>20</v>
      </c>
      <c r="I843" s="2">
        <v>3</v>
      </c>
      <c r="J843" s="4" t="s">
        <v>29</v>
      </c>
      <c r="K843" s="2" t="s">
        <v>38</v>
      </c>
      <c r="L843" s="2">
        <v>64</v>
      </c>
      <c r="M843" t="str" cm="1">
        <f t="array" ref="M843">_xlfn.IFS(L843&lt;=35,"YOUNG_ADULTS",L843&lt;=55,"MIDDLE_AGED",L843&gt;55,"OLD-AGED")</f>
        <v>OLD-AGED</v>
      </c>
      <c r="O843" t="str" cm="1">
        <f t="array" ref="O843">_xlfn.IFS(D843&lt;=50000,"low income",D843&lt;=100000,"Mid income",D843&gt;100000,"High income")</f>
        <v>High income</v>
      </c>
      <c r="P843" t="str" cm="1">
        <f t="array" ref="P843">_xlfn.IFS(E843&lt;=2,"&lt;=2",E843&gt;2,"&gt;2")</f>
        <v>&lt;=2</v>
      </c>
    </row>
    <row r="844" spans="1:16">
      <c r="A844" s="2">
        <v>15555</v>
      </c>
      <c r="B844" s="2" t="s">
        <v>16</v>
      </c>
      <c r="C844" s="2" t="s">
        <v>17</v>
      </c>
      <c r="D844" s="6">
        <v>60000</v>
      </c>
      <c r="E844" s="2">
        <v>1</v>
      </c>
      <c r="F844" s="2" t="s">
        <v>23</v>
      </c>
      <c r="G844" s="2" t="s">
        <v>19</v>
      </c>
      <c r="H844" s="2" t="s">
        <v>20</v>
      </c>
      <c r="I844" s="2">
        <v>1</v>
      </c>
      <c r="J844" s="4" t="s">
        <v>27</v>
      </c>
      <c r="K844" s="2" t="s">
        <v>38</v>
      </c>
      <c r="L844" s="2">
        <v>45</v>
      </c>
      <c r="M844" t="str" cm="1">
        <f t="array" ref="M844">_xlfn.IFS(L844&lt;=35,"YOUNG_ADULTS",L844&lt;=55,"MIDDLE_AGED",L844&gt;55,"OLD-AGED")</f>
        <v>MIDDLE_AGED</v>
      </c>
      <c r="N844" s="2" t="s">
        <v>20</v>
      </c>
      <c r="O844" t="str" cm="1">
        <f t="array" ref="O844">_xlfn.IFS(D844&lt;=50000,"low income",D844&lt;=100000,"Mid income",D844&gt;100000,"High income")</f>
        <v>Mid income</v>
      </c>
      <c r="P844" t="str" cm="1">
        <f t="array" ref="P844">_xlfn.IFS(E844&lt;=2,"&lt;=2",E844&gt;2,"&gt;2")</f>
        <v>&lt;=2</v>
      </c>
    </row>
    <row r="845" spans="1:16">
      <c r="A845" s="2">
        <v>18423</v>
      </c>
      <c r="B845" s="2" t="s">
        <v>28</v>
      </c>
      <c r="C845" s="2" t="s">
        <v>16</v>
      </c>
      <c r="D845" s="6">
        <v>80000</v>
      </c>
      <c r="E845" s="2">
        <v>2</v>
      </c>
      <c r="F845" s="2" t="s">
        <v>35</v>
      </c>
      <c r="G845" s="2" t="s">
        <v>19</v>
      </c>
      <c r="H845" s="2" t="s">
        <v>26</v>
      </c>
      <c r="I845" s="2">
        <v>2</v>
      </c>
      <c r="J845" s="4" t="s">
        <v>32</v>
      </c>
      <c r="K845" s="2" t="s">
        <v>38</v>
      </c>
      <c r="L845" s="2">
        <v>52</v>
      </c>
      <c r="M845" t="str" cm="1">
        <f t="array" ref="M845">_xlfn.IFS(L845&lt;=35,"YOUNG_ADULTS",L845&lt;=55,"MIDDLE_AGED",L845&gt;55,"OLD-AGED")</f>
        <v>MIDDLE_AGED</v>
      </c>
      <c r="O845" t="str" cm="1">
        <f t="array" ref="O845">_xlfn.IFS(D845&lt;=50000,"low income",D845&lt;=100000,"Mid income",D845&gt;100000,"High income")</f>
        <v>Mid income</v>
      </c>
      <c r="P845" t="str" cm="1">
        <f t="array" ref="P845">_xlfn.IFS(E845&lt;=2,"&lt;=2",E845&gt;2,"&gt;2")</f>
        <v>&lt;=2</v>
      </c>
    </row>
    <row r="846" spans="1:16">
      <c r="A846" s="2">
        <v>22743</v>
      </c>
      <c r="B846" s="2" t="s">
        <v>16</v>
      </c>
      <c r="C846" s="2" t="s">
        <v>17</v>
      </c>
      <c r="D846" s="6">
        <v>40000</v>
      </c>
      <c r="E846" s="2">
        <v>5</v>
      </c>
      <c r="F846" s="2" t="s">
        <v>33</v>
      </c>
      <c r="G846" s="2" t="s">
        <v>25</v>
      </c>
      <c r="H846" s="2" t="s">
        <v>20</v>
      </c>
      <c r="I846" s="2">
        <v>2</v>
      </c>
      <c r="J846" s="4" t="s">
        <v>36</v>
      </c>
      <c r="K846" s="2" t="s">
        <v>38</v>
      </c>
      <c r="L846" s="2">
        <v>60</v>
      </c>
      <c r="M846" t="str" cm="1">
        <f t="array" ref="M846">_xlfn.IFS(L846&lt;=35,"YOUNG_ADULTS",L846&lt;=55,"MIDDLE_AGED",L846&gt;55,"OLD-AGED")</f>
        <v>OLD-AGED</v>
      </c>
      <c r="O846" t="str" cm="1">
        <f t="array" ref="O846">_xlfn.IFS(D846&lt;=50000,"low income",D846&lt;=100000,"Mid income",D846&gt;100000,"High income")</f>
        <v>low income</v>
      </c>
      <c r="P846" t="str" cm="1">
        <f t="array" ref="P846">_xlfn.IFS(E846&lt;=2,"&lt;=2",E846&gt;2,"&gt;2")</f>
        <v>&gt;2</v>
      </c>
    </row>
    <row r="847" spans="1:16">
      <c r="A847" s="2">
        <v>25343</v>
      </c>
      <c r="B847" s="2" t="s">
        <v>28</v>
      </c>
      <c r="C847" s="2" t="s">
        <v>17</v>
      </c>
      <c r="D847" s="6">
        <v>20000</v>
      </c>
      <c r="E847" s="2">
        <v>3</v>
      </c>
      <c r="F847" s="2" t="s">
        <v>35</v>
      </c>
      <c r="G847" s="2" t="s">
        <v>24</v>
      </c>
      <c r="H847" s="2" t="s">
        <v>20</v>
      </c>
      <c r="I847" s="2">
        <v>2</v>
      </c>
      <c r="J847" s="4" t="s">
        <v>32</v>
      </c>
      <c r="K847" s="2" t="s">
        <v>38</v>
      </c>
      <c r="L847" s="2">
        <v>50</v>
      </c>
      <c r="M847" t="str" cm="1">
        <f t="array" ref="M847">_xlfn.IFS(L847&lt;=35,"YOUNG_ADULTS",L847&lt;=55,"MIDDLE_AGED",L847&gt;55,"OLD-AGED")</f>
        <v>MIDDLE_AGED</v>
      </c>
      <c r="O847" t="str" cm="1">
        <f t="array" ref="O847">_xlfn.IFS(D847&lt;=50000,"low income",D847&lt;=100000,"Mid income",D847&gt;100000,"High income")</f>
        <v>low income</v>
      </c>
      <c r="P847" t="str" cm="1">
        <f t="array" ref="P847">_xlfn.IFS(E847&lt;=2,"&lt;=2",E847&gt;2,"&gt;2")</f>
        <v>&gt;2</v>
      </c>
    </row>
    <row r="848" spans="1:16">
      <c r="A848" s="2">
        <v>13390</v>
      </c>
      <c r="B848" s="2" t="s">
        <v>16</v>
      </c>
      <c r="C848" s="2" t="s">
        <v>17</v>
      </c>
      <c r="D848" s="6">
        <v>70000</v>
      </c>
      <c r="E848" s="2">
        <v>4</v>
      </c>
      <c r="F848" s="2" t="s">
        <v>23</v>
      </c>
      <c r="G848" s="2" t="s">
        <v>25</v>
      </c>
      <c r="H848" s="2" t="s">
        <v>26</v>
      </c>
      <c r="I848" s="2">
        <v>1</v>
      </c>
      <c r="J848" s="4" t="s">
        <v>32</v>
      </c>
      <c r="K848" s="2" t="s">
        <v>38</v>
      </c>
      <c r="L848" s="2">
        <v>56</v>
      </c>
      <c r="M848" t="str" cm="1">
        <f t="array" ref="M848">_xlfn.IFS(L848&lt;=35,"YOUNG_ADULTS",L848&lt;=55,"MIDDLE_AGED",L848&gt;55,"OLD-AGED")</f>
        <v>OLD-AGED</v>
      </c>
      <c r="O848" t="str" cm="1">
        <f t="array" ref="O848">_xlfn.IFS(D848&lt;=50000,"low income",D848&lt;=100000,"Mid income",D848&gt;100000,"High income")</f>
        <v>Mid income</v>
      </c>
      <c r="P848" t="str" cm="1">
        <f t="array" ref="P848">_xlfn.IFS(E848&lt;=2,"&lt;=2",E848&gt;2,"&gt;2")</f>
        <v>&gt;2</v>
      </c>
    </row>
    <row r="849" spans="1:16">
      <c r="A849" s="2">
        <v>17482</v>
      </c>
      <c r="B849" s="2" t="s">
        <v>28</v>
      </c>
      <c r="C849" s="2" t="s">
        <v>17</v>
      </c>
      <c r="D849" s="6">
        <v>40000</v>
      </c>
      <c r="E849" s="2">
        <v>0</v>
      </c>
      <c r="F849" s="2" t="s">
        <v>35</v>
      </c>
      <c r="G849" s="2" t="s">
        <v>24</v>
      </c>
      <c r="H849" s="2" t="s">
        <v>20</v>
      </c>
      <c r="I849" s="2">
        <v>2</v>
      </c>
      <c r="J849" s="4" t="s">
        <v>29</v>
      </c>
      <c r="K849" s="2" t="s">
        <v>38</v>
      </c>
      <c r="L849" s="2">
        <v>29</v>
      </c>
      <c r="M849" t="str" cm="1">
        <f t="array" ref="M849">_xlfn.IFS(L849&lt;=35,"YOUNG_ADULTS",L849&lt;=55,"MIDDLE_AGED",L849&gt;55,"OLD-AGED")</f>
        <v>YOUNG_ADULTS</v>
      </c>
      <c r="O849" t="str" cm="1">
        <f t="array" ref="O849">_xlfn.IFS(D849&lt;=50000,"low income",D849&lt;=100000,"Mid income",D849&gt;100000,"High income")</f>
        <v>low income</v>
      </c>
      <c r="P849" t="str" cm="1">
        <f t="array" ref="P849">_xlfn.IFS(E849&lt;=2,"&lt;=2",E849&gt;2,"&gt;2")</f>
        <v>&lt;=2</v>
      </c>
    </row>
    <row r="850" spans="1:16">
      <c r="A850" s="2">
        <v>13176</v>
      </c>
      <c r="B850" s="2" t="s">
        <v>28</v>
      </c>
      <c r="C850" s="2" t="s">
        <v>16</v>
      </c>
      <c r="D850" s="6">
        <v>130000</v>
      </c>
      <c r="E850" s="2">
        <v>0</v>
      </c>
      <c r="F850" s="2" t="s">
        <v>37</v>
      </c>
      <c r="G850" s="2" t="s">
        <v>34</v>
      </c>
      <c r="H850" s="2" t="s">
        <v>26</v>
      </c>
      <c r="I850" s="2">
        <v>2</v>
      </c>
      <c r="J850" s="4" t="s">
        <v>21</v>
      </c>
      <c r="K850" s="2" t="s">
        <v>38</v>
      </c>
      <c r="L850" s="2">
        <v>38</v>
      </c>
      <c r="M850" t="str" cm="1">
        <f t="array" ref="M850">_xlfn.IFS(L850&lt;=35,"YOUNG_ADULTS",L850&lt;=55,"MIDDLE_AGED",L850&gt;55,"OLD-AGED")</f>
        <v>MIDDLE_AGED</v>
      </c>
      <c r="N850" s="2" t="s">
        <v>20</v>
      </c>
      <c r="O850" t="str" cm="1">
        <f t="array" ref="O850">_xlfn.IFS(D850&lt;=50000,"low income",D850&lt;=100000,"Mid income",D850&gt;100000,"High income")</f>
        <v>High income</v>
      </c>
      <c r="P850" t="str" cm="1">
        <f t="array" ref="P850">_xlfn.IFS(E850&lt;=2,"&lt;=2",E850&gt;2,"&gt;2")</f>
        <v>&lt;=2</v>
      </c>
    </row>
    <row r="851" spans="1:16">
      <c r="A851" s="2">
        <v>20504</v>
      </c>
      <c r="B851" s="2" t="s">
        <v>16</v>
      </c>
      <c r="C851" s="2" t="s">
        <v>17</v>
      </c>
      <c r="D851" s="6">
        <v>40000</v>
      </c>
      <c r="E851" s="2">
        <v>5</v>
      </c>
      <c r="F851" s="2" t="s">
        <v>33</v>
      </c>
      <c r="G851" s="2" t="s">
        <v>25</v>
      </c>
      <c r="H851" s="2" t="s">
        <v>26</v>
      </c>
      <c r="I851" s="2">
        <v>2</v>
      </c>
      <c r="J851" s="4" t="s">
        <v>27</v>
      </c>
      <c r="K851" s="2" t="s">
        <v>38</v>
      </c>
      <c r="L851" s="2">
        <v>60</v>
      </c>
      <c r="M851" t="str" cm="1">
        <f t="array" ref="M851">_xlfn.IFS(L851&lt;=35,"YOUNG_ADULTS",L851&lt;=55,"MIDDLE_AGED",L851&gt;55,"OLD-AGED")</f>
        <v>OLD-AGED</v>
      </c>
      <c r="O851" t="str" cm="1">
        <f t="array" ref="O851">_xlfn.IFS(D851&lt;=50000,"low income",D851&lt;=100000,"Mid income",D851&gt;100000,"High income")</f>
        <v>low income</v>
      </c>
      <c r="P851" t="str" cm="1">
        <f t="array" ref="P851">_xlfn.IFS(E851&lt;=2,"&lt;=2",E851&gt;2,"&gt;2")</f>
        <v>&gt;2</v>
      </c>
    </row>
    <row r="852" spans="1:16">
      <c r="A852" s="2">
        <v>12205</v>
      </c>
      <c r="B852" s="2" t="s">
        <v>28</v>
      </c>
      <c r="C852" s="2" t="s">
        <v>17</v>
      </c>
      <c r="D852" s="6">
        <v>130000</v>
      </c>
      <c r="E852" s="2">
        <v>2</v>
      </c>
      <c r="F852" s="2" t="s">
        <v>18</v>
      </c>
      <c r="G852" s="2" t="s">
        <v>34</v>
      </c>
      <c r="H852" s="2" t="s">
        <v>26</v>
      </c>
      <c r="I852" s="2">
        <v>4</v>
      </c>
      <c r="J852" s="4" t="s">
        <v>21</v>
      </c>
      <c r="K852" s="2" t="s">
        <v>38</v>
      </c>
      <c r="L852" s="2">
        <v>67</v>
      </c>
      <c r="M852" t="str" cm="1">
        <f t="array" ref="M852">_xlfn.IFS(L852&lt;=35,"YOUNG_ADULTS",L852&lt;=55,"MIDDLE_AGED",L852&gt;55,"OLD-AGED")</f>
        <v>OLD-AGED</v>
      </c>
      <c r="O852" t="str" cm="1">
        <f t="array" ref="O852">_xlfn.IFS(D852&lt;=50000,"low income",D852&lt;=100000,"Mid income",D852&gt;100000,"High income")</f>
        <v>High income</v>
      </c>
      <c r="P852" t="str" cm="1">
        <f t="array" ref="P852">_xlfn.IFS(E852&lt;=2,"&lt;=2",E852&gt;2,"&gt;2")</f>
        <v>&lt;=2</v>
      </c>
    </row>
    <row r="853" spans="1:16">
      <c r="A853" s="2">
        <v>16751</v>
      </c>
      <c r="B853" s="2" t="s">
        <v>16</v>
      </c>
      <c r="C853" s="2" t="s">
        <v>16</v>
      </c>
      <c r="D853" s="6">
        <v>60000</v>
      </c>
      <c r="E853" s="2">
        <v>0</v>
      </c>
      <c r="F853" s="2" t="s">
        <v>23</v>
      </c>
      <c r="G853" s="2" t="s">
        <v>19</v>
      </c>
      <c r="H853" s="2" t="s">
        <v>20</v>
      </c>
      <c r="I853" s="2">
        <v>1</v>
      </c>
      <c r="J853" s="4" t="s">
        <v>29</v>
      </c>
      <c r="K853" s="2" t="s">
        <v>38</v>
      </c>
      <c r="L853" s="2">
        <v>32</v>
      </c>
      <c r="M853" t="str" cm="1">
        <f t="array" ref="M853">_xlfn.IFS(L853&lt;=35,"YOUNG_ADULTS",L853&lt;=55,"MIDDLE_AGED",L853&gt;55,"OLD-AGED")</f>
        <v>YOUNG_ADULTS</v>
      </c>
      <c r="N853" s="2" t="s">
        <v>20</v>
      </c>
      <c r="O853" t="str" cm="1">
        <f t="array" ref="O853">_xlfn.IFS(D853&lt;=50000,"low income",D853&lt;=100000,"Mid income",D853&gt;100000,"High income")</f>
        <v>Mid income</v>
      </c>
      <c r="P853" t="str" cm="1">
        <f t="array" ref="P853">_xlfn.IFS(E853&lt;=2,"&lt;=2",E853&gt;2,"&gt;2")</f>
        <v>&lt;=2</v>
      </c>
    </row>
    <row r="854" spans="1:16">
      <c r="A854" s="2">
        <v>21613</v>
      </c>
      <c r="B854" s="2" t="s">
        <v>28</v>
      </c>
      <c r="C854" s="2" t="s">
        <v>16</v>
      </c>
      <c r="D854" s="6">
        <v>50000</v>
      </c>
      <c r="E854" s="2">
        <v>2</v>
      </c>
      <c r="F854" s="2" t="s">
        <v>18</v>
      </c>
      <c r="G854" s="2" t="s">
        <v>19</v>
      </c>
      <c r="H854" s="2" t="s">
        <v>26</v>
      </c>
      <c r="I854" s="2">
        <v>1</v>
      </c>
      <c r="J854" s="4" t="s">
        <v>21</v>
      </c>
      <c r="K854" s="2" t="s">
        <v>38</v>
      </c>
      <c r="L854" s="2">
        <v>39</v>
      </c>
      <c r="M854" t="str" cm="1">
        <f t="array" ref="M854">_xlfn.IFS(L854&lt;=35,"YOUNG_ADULTS",L854&lt;=55,"MIDDLE_AGED",L854&gt;55,"OLD-AGED")</f>
        <v>MIDDLE_AGED</v>
      </c>
      <c r="N854" s="2" t="s">
        <v>20</v>
      </c>
      <c r="O854" t="str" cm="1">
        <f t="array" ref="O854">_xlfn.IFS(D854&lt;=50000,"low income",D854&lt;=100000,"Mid income",D854&gt;100000,"High income")</f>
        <v>low income</v>
      </c>
      <c r="P854" t="str" cm="1">
        <f t="array" ref="P854">_xlfn.IFS(E854&lt;=2,"&lt;=2",E854&gt;2,"&gt;2")</f>
        <v>&lt;=2</v>
      </c>
    </row>
    <row r="855" spans="1:16">
      <c r="A855" s="2">
        <v>24801</v>
      </c>
      <c r="B855" s="2" t="s">
        <v>28</v>
      </c>
      <c r="C855" s="2" t="s">
        <v>16</v>
      </c>
      <c r="D855" s="6">
        <v>60000</v>
      </c>
      <c r="E855" s="2">
        <v>1</v>
      </c>
      <c r="F855" s="2" t="s">
        <v>37</v>
      </c>
      <c r="G855" s="2" t="s">
        <v>25</v>
      </c>
      <c r="H855" s="2" t="s">
        <v>20</v>
      </c>
      <c r="I855" s="2">
        <v>0</v>
      </c>
      <c r="J855" s="4" t="s">
        <v>27</v>
      </c>
      <c r="K855" s="2" t="s">
        <v>38</v>
      </c>
      <c r="L855" s="2">
        <v>35</v>
      </c>
      <c r="M855" t="str" cm="1">
        <f t="array" ref="M855">_xlfn.IFS(L855&lt;=35,"YOUNG_ADULTS",L855&lt;=55,"MIDDLE_AGED",L855&gt;55,"OLD-AGED")</f>
        <v>YOUNG_ADULTS</v>
      </c>
      <c r="N855" s="2" t="s">
        <v>20</v>
      </c>
      <c r="O855" t="str" cm="1">
        <f t="array" ref="O855">_xlfn.IFS(D855&lt;=50000,"low income",D855&lt;=100000,"Mid income",D855&gt;100000,"High income")</f>
        <v>Mid income</v>
      </c>
      <c r="P855" t="str" cm="1">
        <f t="array" ref="P855">_xlfn.IFS(E855&lt;=2,"&lt;=2",E855&gt;2,"&gt;2")</f>
        <v>&lt;=2</v>
      </c>
    </row>
    <row r="856" spans="1:16">
      <c r="A856" s="2">
        <v>17519</v>
      </c>
      <c r="B856" s="2" t="s">
        <v>16</v>
      </c>
      <c r="C856" s="2" t="s">
        <v>17</v>
      </c>
      <c r="D856" s="6">
        <v>60000</v>
      </c>
      <c r="E856" s="2">
        <v>0</v>
      </c>
      <c r="F856" s="2" t="s">
        <v>23</v>
      </c>
      <c r="G856" s="2" t="s">
        <v>25</v>
      </c>
      <c r="H856" s="2" t="s">
        <v>20</v>
      </c>
      <c r="I856" s="2">
        <v>2</v>
      </c>
      <c r="J856" s="4" t="s">
        <v>29</v>
      </c>
      <c r="K856" s="2" t="s">
        <v>38</v>
      </c>
      <c r="L856" s="2">
        <v>32</v>
      </c>
      <c r="M856" t="str" cm="1">
        <f t="array" ref="M856">_xlfn.IFS(L856&lt;=35,"YOUNG_ADULTS",L856&lt;=55,"MIDDLE_AGED",L856&gt;55,"OLD-AGED")</f>
        <v>YOUNG_ADULTS</v>
      </c>
      <c r="O856" t="str" cm="1">
        <f t="array" ref="O856">_xlfn.IFS(D856&lt;=50000,"low income",D856&lt;=100000,"Mid income",D856&gt;100000,"High income")</f>
        <v>Mid income</v>
      </c>
      <c r="P856" t="str" cm="1">
        <f t="array" ref="P856">_xlfn.IFS(E856&lt;=2,"&lt;=2",E856&gt;2,"&gt;2")</f>
        <v>&lt;=2</v>
      </c>
    </row>
    <row r="857" spans="1:16">
      <c r="A857" s="2">
        <v>18347</v>
      </c>
      <c r="B857" s="2" t="s">
        <v>28</v>
      </c>
      <c r="C857" s="2" t="s">
        <v>17</v>
      </c>
      <c r="D857" s="6">
        <v>30000</v>
      </c>
      <c r="E857" s="2">
        <v>0</v>
      </c>
      <c r="F857" s="2" t="s">
        <v>23</v>
      </c>
      <c r="G857" s="2" t="s">
        <v>19</v>
      </c>
      <c r="H857" s="2" t="s">
        <v>26</v>
      </c>
      <c r="I857" s="2">
        <v>1</v>
      </c>
      <c r="J857" s="4" t="s">
        <v>32</v>
      </c>
      <c r="K857" s="2" t="s">
        <v>38</v>
      </c>
      <c r="L857" s="2">
        <v>31</v>
      </c>
      <c r="M857" t="str" cm="1">
        <f t="array" ref="M857">_xlfn.IFS(L857&lt;=35,"YOUNG_ADULTS",L857&lt;=55,"MIDDLE_AGED",L857&gt;55,"OLD-AGED")</f>
        <v>YOUNG_ADULTS</v>
      </c>
      <c r="O857" t="str" cm="1">
        <f t="array" ref="O857">_xlfn.IFS(D857&lt;=50000,"low income",D857&lt;=100000,"Mid income",D857&gt;100000,"High income")</f>
        <v>low income</v>
      </c>
      <c r="P857" t="str" cm="1">
        <f t="array" ref="P857">_xlfn.IFS(E857&lt;=2,"&lt;=2",E857&gt;2,"&gt;2")</f>
        <v>&lt;=2</v>
      </c>
    </row>
    <row r="858" spans="1:16">
      <c r="A858" s="2">
        <v>29052</v>
      </c>
      <c r="B858" s="2" t="s">
        <v>28</v>
      </c>
      <c r="C858" s="2" t="s">
        <v>16</v>
      </c>
      <c r="D858" s="6">
        <v>40000</v>
      </c>
      <c r="E858" s="2">
        <v>0</v>
      </c>
      <c r="F858" s="2" t="s">
        <v>23</v>
      </c>
      <c r="G858" s="2" t="s">
        <v>19</v>
      </c>
      <c r="H858" s="2" t="s">
        <v>20</v>
      </c>
      <c r="I858" s="2">
        <v>1</v>
      </c>
      <c r="J858" s="4" t="s">
        <v>29</v>
      </c>
      <c r="K858" s="2" t="s">
        <v>38</v>
      </c>
      <c r="L858" s="2">
        <v>27</v>
      </c>
      <c r="M858" t="str" cm="1">
        <f t="array" ref="M858">_xlfn.IFS(L858&lt;=35,"YOUNG_ADULTS",L858&lt;=55,"MIDDLE_AGED",L858&gt;55,"OLD-AGED")</f>
        <v>YOUNG_ADULTS</v>
      </c>
      <c r="O858" t="str" cm="1">
        <f t="array" ref="O858">_xlfn.IFS(D858&lt;=50000,"low income",D858&lt;=100000,"Mid income",D858&gt;100000,"High income")</f>
        <v>low income</v>
      </c>
      <c r="P858" t="str" cm="1">
        <f t="array" ref="P858">_xlfn.IFS(E858&lt;=2,"&lt;=2",E858&gt;2,"&gt;2")</f>
        <v>&lt;=2</v>
      </c>
    </row>
    <row r="859" spans="1:16">
      <c r="A859" s="2">
        <v>11745</v>
      </c>
      <c r="B859" s="2" t="s">
        <v>16</v>
      </c>
      <c r="C859" s="2" t="s">
        <v>17</v>
      </c>
      <c r="D859" s="6">
        <v>60000</v>
      </c>
      <c r="E859" s="2">
        <v>1</v>
      </c>
      <c r="F859" s="2" t="s">
        <v>18</v>
      </c>
      <c r="G859" s="2" t="s">
        <v>25</v>
      </c>
      <c r="H859" s="2" t="s">
        <v>20</v>
      </c>
      <c r="I859" s="2">
        <v>1</v>
      </c>
      <c r="J859" s="4" t="s">
        <v>21</v>
      </c>
      <c r="K859" s="2" t="s">
        <v>38</v>
      </c>
      <c r="L859" s="2">
        <v>47</v>
      </c>
      <c r="M859" t="str" cm="1">
        <f t="array" ref="M859">_xlfn.IFS(L859&lt;=35,"YOUNG_ADULTS",L859&lt;=55,"MIDDLE_AGED",L859&gt;55,"OLD-AGED")</f>
        <v>MIDDLE_AGED</v>
      </c>
      <c r="N859" s="2" t="s">
        <v>20</v>
      </c>
      <c r="O859" t="str" cm="1">
        <f t="array" ref="O859">_xlfn.IFS(D859&lt;=50000,"low income",D859&lt;=100000,"Mid income",D859&gt;100000,"High income")</f>
        <v>Mid income</v>
      </c>
      <c r="P859" t="str" cm="1">
        <f t="array" ref="P859">_xlfn.IFS(E859&lt;=2,"&lt;=2",E859&gt;2,"&gt;2")</f>
        <v>&lt;=2</v>
      </c>
    </row>
    <row r="860" spans="1:16">
      <c r="A860" s="2">
        <v>19147</v>
      </c>
      <c r="B860" s="2" t="s">
        <v>16</v>
      </c>
      <c r="C860" s="2" t="s">
        <v>16</v>
      </c>
      <c r="D860" s="6">
        <v>40000</v>
      </c>
      <c r="E860" s="2">
        <v>0</v>
      </c>
      <c r="F860" s="2" t="s">
        <v>18</v>
      </c>
      <c r="G860" s="2" t="s">
        <v>25</v>
      </c>
      <c r="H860" s="2" t="s">
        <v>26</v>
      </c>
      <c r="I860" s="2">
        <v>1</v>
      </c>
      <c r="J860" s="4" t="s">
        <v>21</v>
      </c>
      <c r="K860" s="2" t="s">
        <v>38</v>
      </c>
      <c r="L860" s="2">
        <v>42</v>
      </c>
      <c r="M860" t="str" cm="1">
        <f t="array" ref="M860">_xlfn.IFS(L860&lt;=35,"YOUNG_ADULTS",L860&lt;=55,"MIDDLE_AGED",L860&gt;55,"OLD-AGED")</f>
        <v>MIDDLE_AGED</v>
      </c>
      <c r="O860" t="str" cm="1">
        <f t="array" ref="O860">_xlfn.IFS(D860&lt;=50000,"low income",D860&lt;=100000,"Mid income",D860&gt;100000,"High income")</f>
        <v>low income</v>
      </c>
      <c r="P860" t="str" cm="1">
        <f t="array" ref="P860">_xlfn.IFS(E860&lt;=2,"&lt;=2",E860&gt;2,"&gt;2")</f>
        <v>&lt;=2</v>
      </c>
    </row>
    <row r="861" spans="1:16">
      <c r="A861" s="2">
        <v>19217</v>
      </c>
      <c r="B861" s="2" t="s">
        <v>16</v>
      </c>
      <c r="C861" s="2" t="s">
        <v>16</v>
      </c>
      <c r="D861" s="6">
        <v>30000</v>
      </c>
      <c r="E861" s="2">
        <v>2</v>
      </c>
      <c r="F861" s="2" t="s">
        <v>33</v>
      </c>
      <c r="G861" s="2" t="s">
        <v>19</v>
      </c>
      <c r="H861" s="2" t="s">
        <v>20</v>
      </c>
      <c r="I861" s="2">
        <v>2</v>
      </c>
      <c r="J861" s="4" t="s">
        <v>32</v>
      </c>
      <c r="K861" s="2" t="s">
        <v>38</v>
      </c>
      <c r="L861" s="2">
        <v>49</v>
      </c>
      <c r="M861" t="str" cm="1">
        <f t="array" ref="M861">_xlfn.IFS(L861&lt;=35,"YOUNG_ADULTS",L861&lt;=55,"MIDDLE_AGED",L861&gt;55,"OLD-AGED")</f>
        <v>MIDDLE_AGED</v>
      </c>
      <c r="O861" t="str" cm="1">
        <f t="array" ref="O861">_xlfn.IFS(D861&lt;=50000,"low income",D861&lt;=100000,"Mid income",D861&gt;100000,"High income")</f>
        <v>low income</v>
      </c>
      <c r="P861" t="str" cm="1">
        <f t="array" ref="P861">_xlfn.IFS(E861&lt;=2,"&lt;=2",E861&gt;2,"&gt;2")</f>
        <v>&lt;=2</v>
      </c>
    </row>
    <row r="862" spans="1:16">
      <c r="A862" s="2">
        <v>15839</v>
      </c>
      <c r="B862" s="2" t="s">
        <v>28</v>
      </c>
      <c r="C862" s="2" t="s">
        <v>16</v>
      </c>
      <c r="D862" s="6">
        <v>30000</v>
      </c>
      <c r="E862" s="2">
        <v>0</v>
      </c>
      <c r="F862" s="2" t="s">
        <v>23</v>
      </c>
      <c r="G862" s="2" t="s">
        <v>19</v>
      </c>
      <c r="H862" s="2" t="s">
        <v>20</v>
      </c>
      <c r="I862" s="2">
        <v>1</v>
      </c>
      <c r="J862" s="4" t="s">
        <v>29</v>
      </c>
      <c r="K862" s="2" t="s">
        <v>38</v>
      </c>
      <c r="L862" s="2">
        <v>32</v>
      </c>
      <c r="M862" t="str" cm="1">
        <f t="array" ref="M862">_xlfn.IFS(L862&lt;=35,"YOUNG_ADULTS",L862&lt;=55,"MIDDLE_AGED",L862&gt;55,"OLD-AGED")</f>
        <v>YOUNG_ADULTS</v>
      </c>
      <c r="O862" t="str" cm="1">
        <f t="array" ref="O862">_xlfn.IFS(D862&lt;=50000,"low income",D862&lt;=100000,"Mid income",D862&gt;100000,"High income")</f>
        <v>low income</v>
      </c>
      <c r="P862" t="str" cm="1">
        <f t="array" ref="P862">_xlfn.IFS(E862&lt;=2,"&lt;=2",E862&gt;2,"&gt;2")</f>
        <v>&lt;=2</v>
      </c>
    </row>
    <row r="863" spans="1:16">
      <c r="A863" s="2">
        <v>13714</v>
      </c>
      <c r="B863" s="2" t="s">
        <v>16</v>
      </c>
      <c r="C863" s="2" t="s">
        <v>17</v>
      </c>
      <c r="D863" s="6">
        <v>20000</v>
      </c>
      <c r="E863" s="2">
        <v>2</v>
      </c>
      <c r="F863" s="2" t="s">
        <v>33</v>
      </c>
      <c r="G863" s="2" t="s">
        <v>31</v>
      </c>
      <c r="H863" s="2" t="s">
        <v>26</v>
      </c>
      <c r="I863" s="2">
        <v>2</v>
      </c>
      <c r="J863" s="4" t="s">
        <v>32</v>
      </c>
      <c r="K863" s="2" t="s">
        <v>38</v>
      </c>
      <c r="L863" s="2">
        <v>53</v>
      </c>
      <c r="M863" t="str" cm="1">
        <f t="array" ref="M863">_xlfn.IFS(L863&lt;=35,"YOUNG_ADULTS",L863&lt;=55,"MIDDLE_AGED",L863&gt;55,"OLD-AGED")</f>
        <v>MIDDLE_AGED</v>
      </c>
      <c r="N863" s="2" t="s">
        <v>20</v>
      </c>
      <c r="O863" t="str" cm="1">
        <f t="array" ref="O863">_xlfn.IFS(D863&lt;=50000,"low income",D863&lt;=100000,"Mid income",D863&gt;100000,"High income")</f>
        <v>low income</v>
      </c>
      <c r="P863" t="str" cm="1">
        <f t="array" ref="P863">_xlfn.IFS(E863&lt;=2,"&lt;=2",E863&gt;2,"&gt;2")</f>
        <v>&lt;=2</v>
      </c>
    </row>
    <row r="864" spans="1:16">
      <c r="A864" s="2">
        <v>22330</v>
      </c>
      <c r="B864" s="2" t="s">
        <v>16</v>
      </c>
      <c r="C864" s="2" t="s">
        <v>16</v>
      </c>
      <c r="D864" s="6">
        <v>50000</v>
      </c>
      <c r="E864" s="2">
        <v>0</v>
      </c>
      <c r="F864" s="2" t="s">
        <v>37</v>
      </c>
      <c r="G864" s="2" t="s">
        <v>19</v>
      </c>
      <c r="H864" s="2" t="s">
        <v>20</v>
      </c>
      <c r="I864" s="2">
        <v>0</v>
      </c>
      <c r="J864" s="4" t="s">
        <v>32</v>
      </c>
      <c r="K864" s="2" t="s">
        <v>38</v>
      </c>
      <c r="L864" s="2">
        <v>32</v>
      </c>
      <c r="M864" t="str" cm="1">
        <f t="array" ref="M864">_xlfn.IFS(L864&lt;=35,"YOUNG_ADULTS",L864&lt;=55,"MIDDLE_AGED",L864&gt;55,"OLD-AGED")</f>
        <v>YOUNG_ADULTS</v>
      </c>
      <c r="N864" s="2" t="s">
        <v>20</v>
      </c>
      <c r="O864" t="str" cm="1">
        <f t="array" ref="O864">_xlfn.IFS(D864&lt;=50000,"low income",D864&lt;=100000,"Mid income",D864&gt;100000,"High income")</f>
        <v>low income</v>
      </c>
      <c r="P864" t="str" cm="1">
        <f t="array" ref="P864">_xlfn.IFS(E864&lt;=2,"&lt;=2",E864&gt;2,"&gt;2")</f>
        <v>&lt;=2</v>
      </c>
    </row>
    <row r="865" spans="1:16">
      <c r="A865" s="2">
        <v>18783</v>
      </c>
      <c r="B865" s="2" t="s">
        <v>28</v>
      </c>
      <c r="C865" s="2" t="s">
        <v>16</v>
      </c>
      <c r="D865" s="6">
        <v>80000</v>
      </c>
      <c r="E865" s="2">
        <v>0</v>
      </c>
      <c r="F865" s="2" t="s">
        <v>18</v>
      </c>
      <c r="G865" s="2" t="s">
        <v>34</v>
      </c>
      <c r="H865" s="2" t="s">
        <v>26</v>
      </c>
      <c r="I865" s="2">
        <v>1</v>
      </c>
      <c r="J865" s="4" t="s">
        <v>21</v>
      </c>
      <c r="K865" s="2" t="s">
        <v>38</v>
      </c>
      <c r="L865" s="2">
        <v>38</v>
      </c>
      <c r="M865" t="str" cm="1">
        <f t="array" ref="M865">_xlfn.IFS(L865&lt;=35,"YOUNG_ADULTS",L865&lt;=55,"MIDDLE_AGED",L865&gt;55,"OLD-AGED")</f>
        <v>MIDDLE_AGED</v>
      </c>
      <c r="N865" s="2" t="s">
        <v>20</v>
      </c>
      <c r="O865" t="str" cm="1">
        <f t="array" ref="O865">_xlfn.IFS(D865&lt;=50000,"low income",D865&lt;=100000,"Mid income",D865&gt;100000,"High income")</f>
        <v>Mid income</v>
      </c>
      <c r="P865" t="str" cm="1">
        <f t="array" ref="P865">_xlfn.IFS(E865&lt;=2,"&lt;=2",E865&gt;2,"&gt;2")</f>
        <v>&lt;=2</v>
      </c>
    </row>
    <row r="866" spans="1:16">
      <c r="A866" s="2">
        <v>25041</v>
      </c>
      <c r="B866" s="2" t="s">
        <v>28</v>
      </c>
      <c r="C866" s="2" t="s">
        <v>16</v>
      </c>
      <c r="D866" s="6">
        <v>40000</v>
      </c>
      <c r="E866" s="2">
        <v>0</v>
      </c>
      <c r="F866" s="2" t="s">
        <v>33</v>
      </c>
      <c r="G866" s="2" t="s">
        <v>19</v>
      </c>
      <c r="H866" s="2" t="s">
        <v>20</v>
      </c>
      <c r="I866" s="2">
        <v>2</v>
      </c>
      <c r="J866" s="4" t="s">
        <v>29</v>
      </c>
      <c r="K866" s="2" t="s">
        <v>38</v>
      </c>
      <c r="L866" s="2">
        <v>31</v>
      </c>
      <c r="M866" t="str" cm="1">
        <f t="array" ref="M866">_xlfn.IFS(L866&lt;=35,"YOUNG_ADULTS",L866&lt;=55,"MIDDLE_AGED",L866&gt;55,"OLD-AGED")</f>
        <v>YOUNG_ADULTS</v>
      </c>
      <c r="O866" t="str" cm="1">
        <f t="array" ref="O866">_xlfn.IFS(D866&lt;=50000,"low income",D866&lt;=100000,"Mid income",D866&gt;100000,"High income")</f>
        <v>low income</v>
      </c>
      <c r="P866" t="str" cm="1">
        <f t="array" ref="P866">_xlfn.IFS(E866&lt;=2,"&lt;=2",E866&gt;2,"&gt;2")</f>
        <v>&lt;=2</v>
      </c>
    </row>
    <row r="867" spans="1:16">
      <c r="A867" s="2">
        <v>22046</v>
      </c>
      <c r="B867" s="2" t="s">
        <v>28</v>
      </c>
      <c r="C867" s="2" t="s">
        <v>17</v>
      </c>
      <c r="D867" s="6">
        <v>80000</v>
      </c>
      <c r="E867" s="2">
        <v>0</v>
      </c>
      <c r="F867" s="2" t="s">
        <v>18</v>
      </c>
      <c r="G867" s="2" t="s">
        <v>34</v>
      </c>
      <c r="H867" s="2" t="s">
        <v>26</v>
      </c>
      <c r="I867" s="2">
        <v>1</v>
      </c>
      <c r="J867" s="4" t="s">
        <v>21</v>
      </c>
      <c r="K867" s="2" t="s">
        <v>38</v>
      </c>
      <c r="L867" s="2">
        <v>38</v>
      </c>
      <c r="M867" t="str" cm="1">
        <f t="array" ref="M867">_xlfn.IFS(L867&lt;=35,"YOUNG_ADULTS",L867&lt;=55,"MIDDLE_AGED",L867&gt;55,"OLD-AGED")</f>
        <v>MIDDLE_AGED</v>
      </c>
      <c r="N867" s="2" t="s">
        <v>20</v>
      </c>
      <c r="O867" t="str" cm="1">
        <f t="array" ref="O867">_xlfn.IFS(D867&lt;=50000,"low income",D867&lt;=100000,"Mid income",D867&gt;100000,"High income")</f>
        <v>Mid income</v>
      </c>
      <c r="P867" t="str" cm="1">
        <f t="array" ref="P867">_xlfn.IFS(E867&lt;=2,"&lt;=2",E867&gt;2,"&gt;2")</f>
        <v>&lt;=2</v>
      </c>
    </row>
    <row r="868" spans="1:16">
      <c r="A868" s="2">
        <v>28052</v>
      </c>
      <c r="B868" s="2" t="s">
        <v>16</v>
      </c>
      <c r="C868" s="2" t="s">
        <v>16</v>
      </c>
      <c r="D868" s="6">
        <v>60000</v>
      </c>
      <c r="E868" s="2">
        <v>2</v>
      </c>
      <c r="F868" s="2" t="s">
        <v>33</v>
      </c>
      <c r="G868" s="2" t="s">
        <v>25</v>
      </c>
      <c r="H868" s="2" t="s">
        <v>20</v>
      </c>
      <c r="I868" s="2">
        <v>2</v>
      </c>
      <c r="J868" s="4" t="s">
        <v>36</v>
      </c>
      <c r="K868" s="2" t="s">
        <v>38</v>
      </c>
      <c r="L868" s="2">
        <v>55</v>
      </c>
      <c r="M868" t="str" cm="1">
        <f t="array" ref="M868">_xlfn.IFS(L868&lt;=35,"YOUNG_ADULTS",L868&lt;=55,"MIDDLE_AGED",L868&gt;55,"OLD-AGED")</f>
        <v>MIDDLE_AGED</v>
      </c>
      <c r="O868" t="str" cm="1">
        <f t="array" ref="O868">_xlfn.IFS(D868&lt;=50000,"low income",D868&lt;=100000,"Mid income",D868&gt;100000,"High income")</f>
        <v>Mid income</v>
      </c>
      <c r="P868" t="str" cm="1">
        <f t="array" ref="P868">_xlfn.IFS(E868&lt;=2,"&lt;=2",E868&gt;2,"&gt;2")</f>
        <v>&lt;=2</v>
      </c>
    </row>
    <row r="869" spans="1:16">
      <c r="A869" s="2">
        <v>26693</v>
      </c>
      <c r="B869" s="2" t="s">
        <v>16</v>
      </c>
      <c r="C869" s="2" t="s">
        <v>16</v>
      </c>
      <c r="D869" s="6">
        <v>70000</v>
      </c>
      <c r="E869" s="2">
        <v>3</v>
      </c>
      <c r="F869" s="2" t="s">
        <v>23</v>
      </c>
      <c r="G869" s="2" t="s">
        <v>25</v>
      </c>
      <c r="H869" s="2" t="s">
        <v>20</v>
      </c>
      <c r="I869" s="2">
        <v>1</v>
      </c>
      <c r="J869" s="4" t="s">
        <v>29</v>
      </c>
      <c r="K869" s="2" t="s">
        <v>38</v>
      </c>
      <c r="L869" s="2">
        <v>49</v>
      </c>
      <c r="M869" t="str" cm="1">
        <f t="array" ref="M869">_xlfn.IFS(L869&lt;=35,"YOUNG_ADULTS",L869&lt;=55,"MIDDLE_AGED",L869&gt;55,"OLD-AGED")</f>
        <v>MIDDLE_AGED</v>
      </c>
      <c r="O869" t="str" cm="1">
        <f t="array" ref="O869">_xlfn.IFS(D869&lt;=50000,"low income",D869&lt;=100000,"Mid income",D869&gt;100000,"High income")</f>
        <v>Mid income</v>
      </c>
      <c r="P869" t="str" cm="1">
        <f t="array" ref="P869">_xlfn.IFS(E869&lt;=2,"&lt;=2",E869&gt;2,"&gt;2")</f>
        <v>&gt;2</v>
      </c>
    </row>
    <row r="870" spans="1:16">
      <c r="A870" s="2">
        <v>24955</v>
      </c>
      <c r="B870" s="2" t="s">
        <v>28</v>
      </c>
      <c r="C870" s="2" t="s">
        <v>16</v>
      </c>
      <c r="D870" s="6">
        <v>30000</v>
      </c>
      <c r="E870" s="2">
        <v>5</v>
      </c>
      <c r="F870" s="2" t="s">
        <v>35</v>
      </c>
      <c r="G870" s="2" t="s">
        <v>19</v>
      </c>
      <c r="H870" s="2" t="s">
        <v>20</v>
      </c>
      <c r="I870" s="2">
        <v>3</v>
      </c>
      <c r="J870" s="4" t="s">
        <v>36</v>
      </c>
      <c r="K870" s="2" t="s">
        <v>38</v>
      </c>
      <c r="L870" s="2">
        <v>60</v>
      </c>
      <c r="M870" t="str" cm="1">
        <f t="array" ref="M870">_xlfn.IFS(L870&lt;=35,"YOUNG_ADULTS",L870&lt;=55,"MIDDLE_AGED",L870&gt;55,"OLD-AGED")</f>
        <v>OLD-AGED</v>
      </c>
      <c r="N870" s="2" t="s">
        <v>20</v>
      </c>
      <c r="O870" t="str" cm="1">
        <f t="array" ref="O870">_xlfn.IFS(D870&lt;=50000,"low income",D870&lt;=100000,"Mid income",D870&gt;100000,"High income")</f>
        <v>low income</v>
      </c>
      <c r="P870" t="str" cm="1">
        <f t="array" ref="P870">_xlfn.IFS(E870&lt;=2,"&lt;=2",E870&gt;2,"&gt;2")</f>
        <v>&gt;2</v>
      </c>
    </row>
    <row r="871" spans="1:16">
      <c r="A871" s="2">
        <v>26065</v>
      </c>
      <c r="B871" s="2" t="s">
        <v>28</v>
      </c>
      <c r="C871" s="2" t="s">
        <v>17</v>
      </c>
      <c r="D871" s="6">
        <v>110000</v>
      </c>
      <c r="E871" s="2">
        <v>3</v>
      </c>
      <c r="F871" s="2" t="s">
        <v>18</v>
      </c>
      <c r="G871" s="2" t="s">
        <v>34</v>
      </c>
      <c r="H871" s="2" t="s">
        <v>26</v>
      </c>
      <c r="I871" s="2">
        <v>4</v>
      </c>
      <c r="J871" s="4" t="s">
        <v>32</v>
      </c>
      <c r="K871" s="2" t="s">
        <v>38</v>
      </c>
      <c r="L871" s="2">
        <v>42</v>
      </c>
      <c r="M871" t="str" cm="1">
        <f t="array" ref="M871">_xlfn.IFS(L871&lt;=35,"YOUNG_ADULTS",L871&lt;=55,"MIDDLE_AGED",L871&gt;55,"OLD-AGED")</f>
        <v>MIDDLE_AGED</v>
      </c>
      <c r="O871" t="str" cm="1">
        <f t="array" ref="O871">_xlfn.IFS(D871&lt;=50000,"low income",D871&lt;=100000,"Mid income",D871&gt;100000,"High income")</f>
        <v>High income</v>
      </c>
      <c r="P871" t="str" cm="1">
        <f t="array" ref="P871">_xlfn.IFS(E871&lt;=2,"&lt;=2",E871&gt;2,"&gt;2")</f>
        <v>&gt;2</v>
      </c>
    </row>
    <row r="872" spans="1:16">
      <c r="A872" s="2">
        <v>13942</v>
      </c>
      <c r="B872" s="2" t="s">
        <v>16</v>
      </c>
      <c r="C872" s="2" t="s">
        <v>16</v>
      </c>
      <c r="D872" s="6">
        <v>60000</v>
      </c>
      <c r="E872" s="2">
        <v>1</v>
      </c>
      <c r="F872" s="2" t="s">
        <v>23</v>
      </c>
      <c r="G872" s="2" t="s">
        <v>19</v>
      </c>
      <c r="H872" s="2" t="s">
        <v>20</v>
      </c>
      <c r="I872" s="2">
        <v>1</v>
      </c>
      <c r="J872" s="4" t="s">
        <v>21</v>
      </c>
      <c r="K872" s="2" t="s">
        <v>38</v>
      </c>
      <c r="L872" s="2">
        <v>46</v>
      </c>
      <c r="M872" t="str" cm="1">
        <f t="array" ref="M872">_xlfn.IFS(L872&lt;=35,"YOUNG_ADULTS",L872&lt;=55,"MIDDLE_AGED",L872&gt;55,"OLD-AGED")</f>
        <v>MIDDLE_AGED</v>
      </c>
      <c r="O872" t="str" cm="1">
        <f t="array" ref="O872">_xlfn.IFS(D872&lt;=50000,"low income",D872&lt;=100000,"Mid income",D872&gt;100000,"High income")</f>
        <v>Mid income</v>
      </c>
      <c r="P872" t="str" cm="1">
        <f t="array" ref="P872">_xlfn.IFS(E872&lt;=2,"&lt;=2",E872&gt;2,"&gt;2")</f>
        <v>&lt;=2</v>
      </c>
    </row>
    <row r="873" spans="1:16">
      <c r="A873" s="2">
        <v>11219</v>
      </c>
      <c r="B873" s="2" t="s">
        <v>16</v>
      </c>
      <c r="C873" s="2" t="s">
        <v>16</v>
      </c>
      <c r="D873" s="6">
        <v>60000</v>
      </c>
      <c r="E873" s="2">
        <v>2</v>
      </c>
      <c r="F873" s="2" t="s">
        <v>33</v>
      </c>
      <c r="G873" s="2" t="s">
        <v>25</v>
      </c>
      <c r="H873" s="2" t="s">
        <v>20</v>
      </c>
      <c r="I873" s="2">
        <v>2</v>
      </c>
      <c r="J873" s="4" t="s">
        <v>36</v>
      </c>
      <c r="K873" s="2" t="s">
        <v>38</v>
      </c>
      <c r="L873" s="2">
        <v>55</v>
      </c>
      <c r="M873" t="str" cm="1">
        <f t="array" ref="M873">_xlfn.IFS(L873&lt;=35,"YOUNG_ADULTS",L873&lt;=55,"MIDDLE_AGED",L873&gt;55,"OLD-AGED")</f>
        <v>MIDDLE_AGED</v>
      </c>
      <c r="O873" t="str" cm="1">
        <f t="array" ref="O873">_xlfn.IFS(D873&lt;=50000,"low income",D873&lt;=100000,"Mid income",D873&gt;100000,"High income")</f>
        <v>Mid income</v>
      </c>
      <c r="P873" t="str" cm="1">
        <f t="array" ref="P873">_xlfn.IFS(E873&lt;=2,"&lt;=2",E873&gt;2,"&gt;2")</f>
        <v>&lt;=2</v>
      </c>
    </row>
    <row r="874" spans="1:16">
      <c r="A874" s="2">
        <v>22118</v>
      </c>
      <c r="B874" s="2" t="s">
        <v>28</v>
      </c>
      <c r="C874" s="2" t="s">
        <v>17</v>
      </c>
      <c r="D874" s="6">
        <v>70000</v>
      </c>
      <c r="E874" s="2">
        <v>3</v>
      </c>
      <c r="F874" s="2" t="s">
        <v>37</v>
      </c>
      <c r="G874" s="2" t="s">
        <v>34</v>
      </c>
      <c r="H874" s="2" t="s">
        <v>20</v>
      </c>
      <c r="I874" s="2">
        <v>2</v>
      </c>
      <c r="J874" s="4" t="s">
        <v>29</v>
      </c>
      <c r="K874" s="2" t="s">
        <v>38</v>
      </c>
      <c r="L874" s="2">
        <v>53</v>
      </c>
      <c r="M874" t="str" cm="1">
        <f t="array" ref="M874">_xlfn.IFS(L874&lt;=35,"YOUNG_ADULTS",L874&lt;=55,"MIDDLE_AGED",L874&gt;55,"OLD-AGED")</f>
        <v>MIDDLE_AGED</v>
      </c>
      <c r="N874" s="2" t="s">
        <v>20</v>
      </c>
      <c r="O874" t="str" cm="1">
        <f t="array" ref="O874">_xlfn.IFS(D874&lt;=50000,"low income",D874&lt;=100000,"Mid income",D874&gt;100000,"High income")</f>
        <v>Mid income</v>
      </c>
      <c r="P874" t="str" cm="1">
        <f t="array" ref="P874">_xlfn.IFS(E874&lt;=2,"&lt;=2",E874&gt;2,"&gt;2")</f>
        <v>&gt;2</v>
      </c>
    </row>
    <row r="875" spans="1:16">
      <c r="A875" s="2">
        <v>23197</v>
      </c>
      <c r="B875" s="2" t="s">
        <v>16</v>
      </c>
      <c r="C875" s="2" t="s">
        <v>16</v>
      </c>
      <c r="D875" s="6">
        <v>50000</v>
      </c>
      <c r="E875" s="2">
        <v>3</v>
      </c>
      <c r="F875" s="2" t="s">
        <v>18</v>
      </c>
      <c r="G875" s="2" t="s">
        <v>19</v>
      </c>
      <c r="H875" s="2" t="s">
        <v>20</v>
      </c>
      <c r="I875" s="2">
        <v>2</v>
      </c>
      <c r="J875" s="4" t="s">
        <v>27</v>
      </c>
      <c r="K875" s="2" t="s">
        <v>38</v>
      </c>
      <c r="L875" s="2">
        <v>40</v>
      </c>
      <c r="M875" t="str" cm="1">
        <f t="array" ref="M875">_xlfn.IFS(L875&lt;=35,"YOUNG_ADULTS",L875&lt;=55,"MIDDLE_AGED",L875&gt;55,"OLD-AGED")</f>
        <v>MIDDLE_AGED</v>
      </c>
      <c r="O875" t="str" cm="1">
        <f t="array" ref="O875">_xlfn.IFS(D875&lt;=50000,"low income",D875&lt;=100000,"Mid income",D875&gt;100000,"High income")</f>
        <v>low income</v>
      </c>
      <c r="P875" t="str" cm="1">
        <f t="array" ref="P875">_xlfn.IFS(E875&lt;=2,"&lt;=2",E875&gt;2,"&gt;2")</f>
        <v>&gt;2</v>
      </c>
    </row>
    <row r="876" spans="1:16">
      <c r="A876" s="2">
        <v>14883</v>
      </c>
      <c r="B876" s="2" t="s">
        <v>16</v>
      </c>
      <c r="C876" s="2" t="s">
        <v>17</v>
      </c>
      <c r="D876" s="6">
        <v>30000</v>
      </c>
      <c r="E876" s="2">
        <v>1</v>
      </c>
      <c r="F876" s="2" t="s">
        <v>18</v>
      </c>
      <c r="G876" s="2" t="s">
        <v>19</v>
      </c>
      <c r="H876" s="2" t="s">
        <v>20</v>
      </c>
      <c r="I876" s="2">
        <v>1</v>
      </c>
      <c r="J876" s="4" t="s">
        <v>29</v>
      </c>
      <c r="K876" s="2" t="s">
        <v>38</v>
      </c>
      <c r="L876" s="2">
        <v>53</v>
      </c>
      <c r="M876" t="str" cm="1">
        <f t="array" ref="M876">_xlfn.IFS(L876&lt;=35,"YOUNG_ADULTS",L876&lt;=55,"MIDDLE_AGED",L876&gt;55,"OLD-AGED")</f>
        <v>MIDDLE_AGED</v>
      </c>
      <c r="N876" s="2" t="s">
        <v>20</v>
      </c>
      <c r="O876" t="str" cm="1">
        <f t="array" ref="O876">_xlfn.IFS(D876&lt;=50000,"low income",D876&lt;=100000,"Mid income",D876&gt;100000,"High income")</f>
        <v>low income</v>
      </c>
      <c r="P876" t="str" cm="1">
        <f t="array" ref="P876">_xlfn.IFS(E876&lt;=2,"&lt;=2",E876&gt;2,"&gt;2")</f>
        <v>&lt;=2</v>
      </c>
    </row>
    <row r="877" spans="1:16">
      <c r="A877" s="2">
        <v>27279</v>
      </c>
      <c r="B877" s="2" t="s">
        <v>28</v>
      </c>
      <c r="C877" s="2" t="s">
        <v>17</v>
      </c>
      <c r="D877" s="6">
        <v>70000</v>
      </c>
      <c r="E877" s="2">
        <v>2</v>
      </c>
      <c r="F877" s="2" t="s">
        <v>18</v>
      </c>
      <c r="G877" s="2" t="s">
        <v>19</v>
      </c>
      <c r="H877" s="2" t="s">
        <v>20</v>
      </c>
      <c r="I877" s="2">
        <v>0</v>
      </c>
      <c r="J877" s="4" t="s">
        <v>27</v>
      </c>
      <c r="K877" s="2" t="s">
        <v>38</v>
      </c>
      <c r="L877" s="2">
        <v>38</v>
      </c>
      <c r="M877" t="str" cm="1">
        <f t="array" ref="M877">_xlfn.IFS(L877&lt;=35,"YOUNG_ADULTS",L877&lt;=55,"MIDDLE_AGED",L877&gt;55,"OLD-AGED")</f>
        <v>MIDDLE_AGED</v>
      </c>
      <c r="N877" s="2" t="s">
        <v>20</v>
      </c>
      <c r="O877" t="str" cm="1">
        <f t="array" ref="O877">_xlfn.IFS(D877&lt;=50000,"low income",D877&lt;=100000,"Mid income",D877&gt;100000,"High income")</f>
        <v>Mid income</v>
      </c>
      <c r="P877" t="str" cm="1">
        <f t="array" ref="P877">_xlfn.IFS(E877&lt;=2,"&lt;=2",E877&gt;2,"&gt;2")</f>
        <v>&lt;=2</v>
      </c>
    </row>
    <row r="878" spans="1:16">
      <c r="A878" s="2">
        <v>18322</v>
      </c>
      <c r="B878" s="2" t="s">
        <v>28</v>
      </c>
      <c r="C878" s="2" t="s">
        <v>16</v>
      </c>
      <c r="D878" s="6">
        <v>30000</v>
      </c>
      <c r="E878" s="2">
        <v>0</v>
      </c>
      <c r="F878" s="2" t="s">
        <v>35</v>
      </c>
      <c r="G878" s="2" t="s">
        <v>24</v>
      </c>
      <c r="H878" s="2" t="s">
        <v>26</v>
      </c>
      <c r="I878" s="2">
        <v>2</v>
      </c>
      <c r="J878" s="4" t="s">
        <v>21</v>
      </c>
      <c r="K878" s="2" t="s">
        <v>38</v>
      </c>
      <c r="L878" s="2">
        <v>26</v>
      </c>
      <c r="M878" t="str" cm="1">
        <f t="array" ref="M878">_xlfn.IFS(L878&lt;=35,"YOUNG_ADULTS",L878&lt;=55,"MIDDLE_AGED",L878&gt;55,"OLD-AGED")</f>
        <v>YOUNG_ADULTS</v>
      </c>
      <c r="O878" t="str" cm="1">
        <f t="array" ref="O878">_xlfn.IFS(D878&lt;=50000,"low income",D878&lt;=100000,"Mid income",D878&gt;100000,"High income")</f>
        <v>low income</v>
      </c>
      <c r="P878" t="str" cm="1">
        <f t="array" ref="P878">_xlfn.IFS(E878&lt;=2,"&lt;=2",E878&gt;2,"&gt;2")</f>
        <v>&lt;=2</v>
      </c>
    </row>
    <row r="879" spans="1:16">
      <c r="A879" s="2">
        <v>15879</v>
      </c>
      <c r="B879" s="2" t="s">
        <v>16</v>
      </c>
      <c r="C879" s="2" t="s">
        <v>16</v>
      </c>
      <c r="D879" s="6">
        <v>70000</v>
      </c>
      <c r="E879" s="2">
        <v>5</v>
      </c>
      <c r="F879" s="2" t="s">
        <v>18</v>
      </c>
      <c r="G879" s="2" t="s">
        <v>34</v>
      </c>
      <c r="H879" s="2" t="s">
        <v>20</v>
      </c>
      <c r="I879" s="2">
        <v>2</v>
      </c>
      <c r="J879" s="4" t="s">
        <v>27</v>
      </c>
      <c r="K879" s="2" t="s">
        <v>38</v>
      </c>
      <c r="L879" s="2">
        <v>61</v>
      </c>
      <c r="M879" t="str" cm="1">
        <f t="array" ref="M879">_xlfn.IFS(L879&lt;=35,"YOUNG_ADULTS",L879&lt;=55,"MIDDLE_AGED",L879&gt;55,"OLD-AGED")</f>
        <v>OLD-AGED</v>
      </c>
      <c r="O879" t="str" cm="1">
        <f t="array" ref="O879">_xlfn.IFS(D879&lt;=50000,"low income",D879&lt;=100000,"Mid income",D879&gt;100000,"High income")</f>
        <v>Mid income</v>
      </c>
      <c r="P879" t="str" cm="1">
        <f t="array" ref="P879">_xlfn.IFS(E879&lt;=2,"&lt;=2",E879&gt;2,"&gt;2")</f>
        <v>&gt;2</v>
      </c>
    </row>
    <row r="880" spans="1:16">
      <c r="A880" s="2">
        <v>28278</v>
      </c>
      <c r="B880" s="2" t="s">
        <v>16</v>
      </c>
      <c r="C880" s="2" t="s">
        <v>16</v>
      </c>
      <c r="D880" s="6">
        <v>50000</v>
      </c>
      <c r="E880" s="2">
        <v>2</v>
      </c>
      <c r="F880" s="2" t="s">
        <v>37</v>
      </c>
      <c r="G880" s="2" t="s">
        <v>34</v>
      </c>
      <c r="H880" s="2" t="s">
        <v>20</v>
      </c>
      <c r="I880" s="2">
        <v>2</v>
      </c>
      <c r="J880" s="4" t="s">
        <v>29</v>
      </c>
      <c r="K880" s="2" t="s">
        <v>38</v>
      </c>
      <c r="L880" s="2">
        <v>71</v>
      </c>
      <c r="M880" t="str" cm="1">
        <f t="array" ref="M880">_xlfn.IFS(L880&lt;=35,"YOUNG_ADULTS",L880&lt;=55,"MIDDLE_AGED",L880&gt;55,"OLD-AGED")</f>
        <v>OLD-AGED</v>
      </c>
      <c r="O880" t="str" cm="1">
        <f t="array" ref="O880">_xlfn.IFS(D880&lt;=50000,"low income",D880&lt;=100000,"Mid income",D880&gt;100000,"High income")</f>
        <v>low income</v>
      </c>
      <c r="P880" t="str" cm="1">
        <f t="array" ref="P880">_xlfn.IFS(E880&lt;=2,"&lt;=2",E880&gt;2,"&gt;2")</f>
        <v>&lt;=2</v>
      </c>
    </row>
    <row r="881" spans="1:16">
      <c r="A881" s="2">
        <v>24416</v>
      </c>
      <c r="B881" s="2" t="s">
        <v>16</v>
      </c>
      <c r="C881" s="2" t="s">
        <v>16</v>
      </c>
      <c r="D881" s="6">
        <v>90000</v>
      </c>
      <c r="E881" s="2">
        <v>4</v>
      </c>
      <c r="F881" s="2" t="s">
        <v>33</v>
      </c>
      <c r="G881" s="2" t="s">
        <v>25</v>
      </c>
      <c r="H881" s="2" t="s">
        <v>20</v>
      </c>
      <c r="I881" s="2">
        <v>2</v>
      </c>
      <c r="J881" s="4" t="s">
        <v>32</v>
      </c>
      <c r="K881" s="2" t="s">
        <v>38</v>
      </c>
      <c r="L881" s="2">
        <v>45</v>
      </c>
      <c r="M881" t="str" cm="1">
        <f t="array" ref="M881">_xlfn.IFS(L881&lt;=35,"YOUNG_ADULTS",L881&lt;=55,"MIDDLE_AGED",L881&gt;55,"OLD-AGED")</f>
        <v>MIDDLE_AGED</v>
      </c>
      <c r="O881" t="str" cm="1">
        <f t="array" ref="O881">_xlfn.IFS(D881&lt;=50000,"low income",D881&lt;=100000,"Mid income",D881&gt;100000,"High income")</f>
        <v>Mid income</v>
      </c>
      <c r="P881" t="str" cm="1">
        <f t="array" ref="P881">_xlfn.IFS(E881&lt;=2,"&lt;=2",E881&gt;2,"&gt;2")</f>
        <v>&gt;2</v>
      </c>
    </row>
    <row r="882" spans="1:16">
      <c r="A882" s="2">
        <v>28066</v>
      </c>
      <c r="B882" s="2" t="s">
        <v>16</v>
      </c>
      <c r="C882" s="2" t="s">
        <v>16</v>
      </c>
      <c r="D882" s="6">
        <v>80000</v>
      </c>
      <c r="E882" s="2">
        <v>2</v>
      </c>
      <c r="F882" s="2" t="s">
        <v>37</v>
      </c>
      <c r="G882" s="2" t="s">
        <v>25</v>
      </c>
      <c r="H882" s="2" t="s">
        <v>20</v>
      </c>
      <c r="I882" s="2">
        <v>0</v>
      </c>
      <c r="J882" s="4" t="s">
        <v>21</v>
      </c>
      <c r="K882" s="2" t="s">
        <v>38</v>
      </c>
      <c r="L882" s="2">
        <v>37</v>
      </c>
      <c r="M882" t="str" cm="1">
        <f t="array" ref="M882">_xlfn.IFS(L882&lt;=35,"YOUNG_ADULTS",L882&lt;=55,"MIDDLE_AGED",L882&gt;55,"OLD-AGED")</f>
        <v>MIDDLE_AGED</v>
      </c>
      <c r="N882" s="2" t="s">
        <v>20</v>
      </c>
      <c r="O882" t="str" cm="1">
        <f t="array" ref="O882">_xlfn.IFS(D882&lt;=50000,"low income",D882&lt;=100000,"Mid income",D882&gt;100000,"High income")</f>
        <v>Mid income</v>
      </c>
      <c r="P882" t="str" cm="1">
        <f t="array" ref="P882">_xlfn.IFS(E882&lt;=2,"&lt;=2",E882&gt;2,"&gt;2")</f>
        <v>&lt;=2</v>
      </c>
    </row>
    <row r="883" spans="1:16">
      <c r="A883" s="2">
        <v>11275</v>
      </c>
      <c r="B883" s="2" t="s">
        <v>16</v>
      </c>
      <c r="C883" s="2" t="s">
        <v>17</v>
      </c>
      <c r="D883" s="6">
        <v>80000</v>
      </c>
      <c r="E883" s="2">
        <v>4</v>
      </c>
      <c r="F883" s="2" t="s">
        <v>37</v>
      </c>
      <c r="G883" s="2" t="s">
        <v>34</v>
      </c>
      <c r="H883" s="2" t="s">
        <v>20</v>
      </c>
      <c r="I883" s="2">
        <v>2</v>
      </c>
      <c r="J883" s="4" t="s">
        <v>21</v>
      </c>
      <c r="K883" s="2" t="s">
        <v>38</v>
      </c>
      <c r="L883" s="2">
        <v>72</v>
      </c>
      <c r="M883" t="str" cm="1">
        <f t="array" ref="M883">_xlfn.IFS(L883&lt;=35,"YOUNG_ADULTS",L883&lt;=55,"MIDDLE_AGED",L883&gt;55,"OLD-AGED")</f>
        <v>OLD-AGED</v>
      </c>
      <c r="N883" s="2" t="s">
        <v>20</v>
      </c>
      <c r="O883" t="str" cm="1">
        <f t="array" ref="O883">_xlfn.IFS(D883&lt;=50000,"low income",D883&lt;=100000,"Mid income",D883&gt;100000,"High income")</f>
        <v>Mid income</v>
      </c>
      <c r="P883" t="str" cm="1">
        <f t="array" ref="P883">_xlfn.IFS(E883&lt;=2,"&lt;=2",E883&gt;2,"&gt;2")</f>
        <v>&gt;2</v>
      </c>
    </row>
    <row r="884" spans="1:16">
      <c r="A884" s="2">
        <v>14872</v>
      </c>
      <c r="B884" s="2" t="s">
        <v>16</v>
      </c>
      <c r="C884" s="2" t="s">
        <v>16</v>
      </c>
      <c r="D884" s="6">
        <v>30000</v>
      </c>
      <c r="E884" s="2">
        <v>0</v>
      </c>
      <c r="F884" s="2" t="s">
        <v>37</v>
      </c>
      <c r="G884" s="2" t="s">
        <v>19</v>
      </c>
      <c r="H884" s="2" t="s">
        <v>20</v>
      </c>
      <c r="I884" s="2">
        <v>0</v>
      </c>
      <c r="J884" s="4" t="s">
        <v>21</v>
      </c>
      <c r="K884" s="2" t="s">
        <v>38</v>
      </c>
      <c r="L884" s="2">
        <v>32</v>
      </c>
      <c r="M884" t="str" cm="1">
        <f t="array" ref="M884">_xlfn.IFS(L884&lt;=35,"YOUNG_ADULTS",L884&lt;=55,"MIDDLE_AGED",L884&gt;55,"OLD-AGED")</f>
        <v>YOUNG_ADULTS</v>
      </c>
      <c r="O884" t="str" cm="1">
        <f t="array" ref="O884">_xlfn.IFS(D884&lt;=50000,"low income",D884&lt;=100000,"Mid income",D884&gt;100000,"High income")</f>
        <v>low income</v>
      </c>
      <c r="P884" t="str" cm="1">
        <f t="array" ref="P884">_xlfn.IFS(E884&lt;=2,"&lt;=2",E884&gt;2,"&gt;2")</f>
        <v>&lt;=2</v>
      </c>
    </row>
    <row r="885" spans="1:16">
      <c r="A885" s="2">
        <v>16151</v>
      </c>
      <c r="B885" s="2" t="s">
        <v>16</v>
      </c>
      <c r="C885" s="2" t="s">
        <v>17</v>
      </c>
      <c r="D885" s="6">
        <v>60000</v>
      </c>
      <c r="E885" s="2">
        <v>1</v>
      </c>
      <c r="F885" s="2" t="s">
        <v>18</v>
      </c>
      <c r="G885" s="2" t="s">
        <v>25</v>
      </c>
      <c r="H885" s="2" t="s">
        <v>20</v>
      </c>
      <c r="I885" s="2">
        <v>1</v>
      </c>
      <c r="J885" s="4" t="s">
        <v>27</v>
      </c>
      <c r="K885" s="2" t="s">
        <v>38</v>
      </c>
      <c r="L885" s="2">
        <v>48</v>
      </c>
      <c r="M885" t="str" cm="1">
        <f t="array" ref="M885">_xlfn.IFS(L885&lt;=35,"YOUNG_ADULTS",L885&lt;=55,"MIDDLE_AGED",L885&gt;55,"OLD-AGED")</f>
        <v>MIDDLE_AGED</v>
      </c>
      <c r="N885" s="2" t="s">
        <v>20</v>
      </c>
      <c r="O885" t="str" cm="1">
        <f t="array" ref="O885">_xlfn.IFS(D885&lt;=50000,"low income",D885&lt;=100000,"Mid income",D885&gt;100000,"High income")</f>
        <v>Mid income</v>
      </c>
      <c r="P885" t="str" cm="1">
        <f t="array" ref="P885">_xlfn.IFS(E885&lt;=2,"&lt;=2",E885&gt;2,"&gt;2")</f>
        <v>&lt;=2</v>
      </c>
    </row>
    <row r="886" spans="1:16">
      <c r="A886" s="2">
        <v>19731</v>
      </c>
      <c r="B886" s="2" t="s">
        <v>16</v>
      </c>
      <c r="C886" s="2" t="s">
        <v>16</v>
      </c>
      <c r="D886" s="6">
        <v>80000</v>
      </c>
      <c r="E886" s="2">
        <v>4</v>
      </c>
      <c r="F886" s="2" t="s">
        <v>37</v>
      </c>
      <c r="G886" s="2" t="s">
        <v>34</v>
      </c>
      <c r="H886" s="2" t="s">
        <v>20</v>
      </c>
      <c r="I886" s="2">
        <v>2</v>
      </c>
      <c r="J886" s="4" t="s">
        <v>29</v>
      </c>
      <c r="K886" s="2" t="s">
        <v>38</v>
      </c>
      <c r="L886" s="2">
        <v>68</v>
      </c>
      <c r="M886" t="str" cm="1">
        <f t="array" ref="M886">_xlfn.IFS(L886&lt;=35,"YOUNG_ADULTS",L886&lt;=55,"MIDDLE_AGED",L886&gt;55,"OLD-AGED")</f>
        <v>OLD-AGED</v>
      </c>
      <c r="O886" t="str" cm="1">
        <f t="array" ref="O886">_xlfn.IFS(D886&lt;=50000,"low income",D886&lt;=100000,"Mid income",D886&gt;100000,"High income")</f>
        <v>Mid income</v>
      </c>
      <c r="P886" t="str" cm="1">
        <f t="array" ref="P886">_xlfn.IFS(E886&lt;=2,"&lt;=2",E886&gt;2,"&gt;2")</f>
        <v>&gt;2</v>
      </c>
    </row>
    <row r="887" spans="1:16">
      <c r="A887" s="2">
        <v>23801</v>
      </c>
      <c r="B887" s="2" t="s">
        <v>16</v>
      </c>
      <c r="C887" s="2" t="s">
        <v>17</v>
      </c>
      <c r="D887" s="6">
        <v>20000</v>
      </c>
      <c r="E887" s="2">
        <v>2</v>
      </c>
      <c r="F887" s="2" t="s">
        <v>35</v>
      </c>
      <c r="G887" s="2" t="s">
        <v>24</v>
      </c>
      <c r="H887" s="2" t="s">
        <v>20</v>
      </c>
      <c r="I887" s="2">
        <v>2</v>
      </c>
      <c r="J887" s="4" t="s">
        <v>21</v>
      </c>
      <c r="K887" s="2" t="s">
        <v>38</v>
      </c>
      <c r="L887" s="2">
        <v>49</v>
      </c>
      <c r="M887" t="str" cm="1">
        <f t="array" ref="M887">_xlfn.IFS(L887&lt;=35,"YOUNG_ADULTS",L887&lt;=55,"MIDDLE_AGED",L887&gt;55,"OLD-AGED")</f>
        <v>MIDDLE_AGED</v>
      </c>
      <c r="O887" t="str" cm="1">
        <f t="array" ref="O887">_xlfn.IFS(D887&lt;=50000,"low income",D887&lt;=100000,"Mid income",D887&gt;100000,"High income")</f>
        <v>low income</v>
      </c>
      <c r="P887" t="str" cm="1">
        <f t="array" ref="P887">_xlfn.IFS(E887&lt;=2,"&lt;=2",E887&gt;2,"&gt;2")</f>
        <v>&lt;=2</v>
      </c>
    </row>
    <row r="888" spans="1:16">
      <c r="A888" s="2">
        <v>11807</v>
      </c>
      <c r="B888" s="2" t="s">
        <v>16</v>
      </c>
      <c r="C888" s="2" t="s">
        <v>16</v>
      </c>
      <c r="D888" s="6">
        <v>70000</v>
      </c>
      <c r="E888" s="2">
        <v>3</v>
      </c>
      <c r="F888" s="2" t="s">
        <v>37</v>
      </c>
      <c r="G888" s="2" t="s">
        <v>25</v>
      </c>
      <c r="H888" s="2" t="s">
        <v>20</v>
      </c>
      <c r="I888" s="2">
        <v>0</v>
      </c>
      <c r="J888" s="4" t="s">
        <v>27</v>
      </c>
      <c r="K888" s="2" t="s">
        <v>38</v>
      </c>
      <c r="L888" s="2">
        <v>34</v>
      </c>
      <c r="M888" t="str" cm="1">
        <f t="array" ref="M888">_xlfn.IFS(L888&lt;=35,"YOUNG_ADULTS",L888&lt;=55,"MIDDLE_AGED",L888&gt;55,"OLD-AGED")</f>
        <v>YOUNG_ADULTS</v>
      </c>
      <c r="O888" t="str" cm="1">
        <f t="array" ref="O888">_xlfn.IFS(D888&lt;=50000,"low income",D888&lt;=100000,"Mid income",D888&gt;100000,"High income")</f>
        <v>Mid income</v>
      </c>
      <c r="P888" t="str" cm="1">
        <f t="array" ref="P888">_xlfn.IFS(E888&lt;=2,"&lt;=2",E888&gt;2,"&gt;2")</f>
        <v>&gt;2</v>
      </c>
    </row>
    <row r="889" spans="1:16">
      <c r="A889" s="2">
        <v>11622</v>
      </c>
      <c r="B889" s="2" t="s">
        <v>16</v>
      </c>
      <c r="C889" s="2" t="s">
        <v>16</v>
      </c>
      <c r="D889" s="6">
        <v>50000</v>
      </c>
      <c r="E889" s="2">
        <v>0</v>
      </c>
      <c r="F889" s="2" t="s">
        <v>37</v>
      </c>
      <c r="G889" s="2" t="s">
        <v>19</v>
      </c>
      <c r="H889" s="2" t="s">
        <v>20</v>
      </c>
      <c r="I889" s="2">
        <v>0</v>
      </c>
      <c r="J889" s="4" t="s">
        <v>21</v>
      </c>
      <c r="K889" s="2" t="s">
        <v>38</v>
      </c>
      <c r="L889" s="2">
        <v>32</v>
      </c>
      <c r="M889" t="str" cm="1">
        <f t="array" ref="M889">_xlfn.IFS(L889&lt;=35,"YOUNG_ADULTS",L889&lt;=55,"MIDDLE_AGED",L889&gt;55,"OLD-AGED")</f>
        <v>YOUNG_ADULTS</v>
      </c>
      <c r="O889" t="str" cm="1">
        <f t="array" ref="O889">_xlfn.IFS(D889&lt;=50000,"low income",D889&lt;=100000,"Mid income",D889&gt;100000,"High income")</f>
        <v>low income</v>
      </c>
      <c r="P889" t="str" cm="1">
        <f t="array" ref="P889">_xlfn.IFS(E889&lt;=2,"&lt;=2",E889&gt;2,"&gt;2")</f>
        <v>&lt;=2</v>
      </c>
    </row>
    <row r="890" spans="1:16">
      <c r="A890" s="2">
        <v>26597</v>
      </c>
      <c r="B890" s="2" t="s">
        <v>28</v>
      </c>
      <c r="C890" s="2" t="s">
        <v>17</v>
      </c>
      <c r="D890" s="6">
        <v>60000</v>
      </c>
      <c r="E890" s="2">
        <v>4</v>
      </c>
      <c r="F890" s="2" t="s">
        <v>18</v>
      </c>
      <c r="G890" s="2" t="s">
        <v>19</v>
      </c>
      <c r="H890" s="2" t="s">
        <v>26</v>
      </c>
      <c r="I890" s="2">
        <v>2</v>
      </c>
      <c r="J890" s="4" t="s">
        <v>21</v>
      </c>
      <c r="K890" s="2" t="s">
        <v>38</v>
      </c>
      <c r="L890" s="2">
        <v>42</v>
      </c>
      <c r="M890" t="str" cm="1">
        <f t="array" ref="M890">_xlfn.IFS(L890&lt;=35,"YOUNG_ADULTS",L890&lt;=55,"MIDDLE_AGED",L890&gt;55,"OLD-AGED")</f>
        <v>MIDDLE_AGED</v>
      </c>
      <c r="O890" t="str" cm="1">
        <f t="array" ref="O890">_xlfn.IFS(D890&lt;=50000,"low income",D890&lt;=100000,"Mid income",D890&gt;100000,"High income")</f>
        <v>Mid income</v>
      </c>
      <c r="P890" t="str" cm="1">
        <f t="array" ref="P890">_xlfn.IFS(E890&lt;=2,"&lt;=2",E890&gt;2,"&gt;2")</f>
        <v>&gt;2</v>
      </c>
    </row>
    <row r="891" spans="1:16">
      <c r="A891" s="2">
        <v>27074</v>
      </c>
      <c r="B891" s="2" t="s">
        <v>16</v>
      </c>
      <c r="C891" s="2" t="s">
        <v>17</v>
      </c>
      <c r="D891" s="6">
        <v>70000</v>
      </c>
      <c r="E891" s="2">
        <v>1</v>
      </c>
      <c r="F891" s="2" t="s">
        <v>37</v>
      </c>
      <c r="G891" s="2" t="s">
        <v>19</v>
      </c>
      <c r="H891" s="2" t="s">
        <v>20</v>
      </c>
      <c r="I891" s="2">
        <v>0</v>
      </c>
      <c r="J891" s="4" t="s">
        <v>21</v>
      </c>
      <c r="K891" s="2" t="s">
        <v>38</v>
      </c>
      <c r="L891" s="2">
        <v>35</v>
      </c>
      <c r="M891" t="str" cm="1">
        <f t="array" ref="M891">_xlfn.IFS(L891&lt;=35,"YOUNG_ADULTS",L891&lt;=55,"MIDDLE_AGED",L891&gt;55,"OLD-AGED")</f>
        <v>YOUNG_ADULTS</v>
      </c>
      <c r="N891" s="2" t="s">
        <v>20</v>
      </c>
      <c r="O891" t="str" cm="1">
        <f t="array" ref="O891">_xlfn.IFS(D891&lt;=50000,"low income",D891&lt;=100000,"Mid income",D891&gt;100000,"High income")</f>
        <v>Mid income</v>
      </c>
      <c r="P891" t="str" cm="1">
        <f t="array" ref="P891">_xlfn.IFS(E891&lt;=2,"&lt;=2",E891&gt;2,"&gt;2")</f>
        <v>&lt;=2</v>
      </c>
    </row>
    <row r="892" spans="1:16">
      <c r="A892" s="2">
        <v>19228</v>
      </c>
      <c r="B892" s="2" t="s">
        <v>16</v>
      </c>
      <c r="C892" s="2" t="s">
        <v>17</v>
      </c>
      <c r="D892" s="6">
        <v>40000</v>
      </c>
      <c r="E892" s="2">
        <v>2</v>
      </c>
      <c r="F892" s="2" t="s">
        <v>23</v>
      </c>
      <c r="G892" s="2" t="s">
        <v>24</v>
      </c>
      <c r="H892" s="2" t="s">
        <v>20</v>
      </c>
      <c r="I892" s="2">
        <v>1</v>
      </c>
      <c r="J892" s="4" t="s">
        <v>21</v>
      </c>
      <c r="K892" s="2" t="s">
        <v>38</v>
      </c>
      <c r="L892" s="2">
        <v>48</v>
      </c>
      <c r="M892" t="str" cm="1">
        <f t="array" ref="M892">_xlfn.IFS(L892&lt;=35,"YOUNG_ADULTS",L892&lt;=55,"MIDDLE_AGED",L892&gt;55,"OLD-AGED")</f>
        <v>MIDDLE_AGED</v>
      </c>
      <c r="O892" t="str" cm="1">
        <f t="array" ref="O892">_xlfn.IFS(D892&lt;=50000,"low income",D892&lt;=100000,"Mid income",D892&gt;100000,"High income")</f>
        <v>low income</v>
      </c>
      <c r="P892" t="str" cm="1">
        <f t="array" ref="P892">_xlfn.IFS(E892&lt;=2,"&lt;=2",E892&gt;2,"&gt;2")</f>
        <v>&lt;=2</v>
      </c>
    </row>
    <row r="893" spans="1:16">
      <c r="A893" s="2">
        <v>13415</v>
      </c>
      <c r="B893" s="2" t="s">
        <v>28</v>
      </c>
      <c r="C893" s="2" t="s">
        <v>16</v>
      </c>
      <c r="D893" s="6">
        <v>100000</v>
      </c>
      <c r="E893" s="2">
        <v>1</v>
      </c>
      <c r="F893" s="2" t="s">
        <v>37</v>
      </c>
      <c r="G893" s="2" t="s">
        <v>34</v>
      </c>
      <c r="H893" s="2" t="s">
        <v>20</v>
      </c>
      <c r="I893" s="2">
        <v>3</v>
      </c>
      <c r="J893" s="4" t="s">
        <v>27</v>
      </c>
      <c r="K893" s="2" t="s">
        <v>38</v>
      </c>
      <c r="L893" s="2">
        <v>73</v>
      </c>
      <c r="M893" t="str" cm="1">
        <f t="array" ref="M893">_xlfn.IFS(L893&lt;=35,"YOUNG_ADULTS",L893&lt;=55,"MIDDLE_AGED",L893&gt;55,"OLD-AGED")</f>
        <v>OLD-AGED</v>
      </c>
      <c r="N893" s="2" t="s">
        <v>20</v>
      </c>
      <c r="O893" t="str" cm="1">
        <f t="array" ref="O893">_xlfn.IFS(D893&lt;=50000,"low income",D893&lt;=100000,"Mid income",D893&gt;100000,"High income")</f>
        <v>Mid income</v>
      </c>
      <c r="P893" t="str" cm="1">
        <f t="array" ref="P893">_xlfn.IFS(E893&lt;=2,"&lt;=2",E893&gt;2,"&gt;2")</f>
        <v>&lt;=2</v>
      </c>
    </row>
    <row r="894" spans="1:16">
      <c r="A894" s="2">
        <v>17000</v>
      </c>
      <c r="B894" s="2" t="s">
        <v>28</v>
      </c>
      <c r="C894" s="2" t="s">
        <v>17</v>
      </c>
      <c r="D894" s="6">
        <v>70000</v>
      </c>
      <c r="E894" s="2">
        <v>4</v>
      </c>
      <c r="F894" s="2" t="s">
        <v>18</v>
      </c>
      <c r="G894" s="2" t="s">
        <v>19</v>
      </c>
      <c r="H894" s="2" t="s">
        <v>20</v>
      </c>
      <c r="I894" s="2">
        <v>2</v>
      </c>
      <c r="J894" s="4" t="s">
        <v>27</v>
      </c>
      <c r="K894" s="2" t="s">
        <v>38</v>
      </c>
      <c r="L894" s="2">
        <v>43</v>
      </c>
      <c r="M894" t="str" cm="1">
        <f t="array" ref="M894">_xlfn.IFS(L894&lt;=35,"YOUNG_ADULTS",L894&lt;=55,"MIDDLE_AGED",L894&gt;55,"OLD-AGED")</f>
        <v>MIDDLE_AGED</v>
      </c>
      <c r="N894" s="2" t="s">
        <v>20</v>
      </c>
      <c r="O894" t="str" cm="1">
        <f t="array" ref="O894">_xlfn.IFS(D894&lt;=50000,"low income",D894&lt;=100000,"Mid income",D894&gt;100000,"High income")</f>
        <v>Mid income</v>
      </c>
      <c r="P894" t="str" cm="1">
        <f t="array" ref="P894">_xlfn.IFS(E894&lt;=2,"&lt;=2",E894&gt;2,"&gt;2")</f>
        <v>&gt;2</v>
      </c>
    </row>
    <row r="895" spans="1:16">
      <c r="A895" s="2">
        <v>14569</v>
      </c>
      <c r="B895" s="2" t="s">
        <v>16</v>
      </c>
      <c r="C895" s="2" t="s">
        <v>16</v>
      </c>
      <c r="D895" s="6">
        <v>60000</v>
      </c>
      <c r="E895" s="2">
        <v>1</v>
      </c>
      <c r="F895" s="2" t="s">
        <v>37</v>
      </c>
      <c r="G895" s="2" t="s">
        <v>25</v>
      </c>
      <c r="H895" s="2" t="s">
        <v>20</v>
      </c>
      <c r="I895" s="2">
        <v>0</v>
      </c>
      <c r="J895" s="4" t="s">
        <v>21</v>
      </c>
      <c r="K895" s="2" t="s">
        <v>38</v>
      </c>
      <c r="L895" s="2">
        <v>35</v>
      </c>
      <c r="M895" t="str" cm="1">
        <f t="array" ref="M895">_xlfn.IFS(L895&lt;=35,"YOUNG_ADULTS",L895&lt;=55,"MIDDLE_AGED",L895&gt;55,"OLD-AGED")</f>
        <v>YOUNG_ADULTS</v>
      </c>
      <c r="O895" t="str" cm="1">
        <f t="array" ref="O895">_xlfn.IFS(D895&lt;=50000,"low income",D895&lt;=100000,"Mid income",D895&gt;100000,"High income")</f>
        <v>Mid income</v>
      </c>
      <c r="P895" t="str" cm="1">
        <f t="array" ref="P895">_xlfn.IFS(E895&lt;=2,"&lt;=2",E895&gt;2,"&gt;2")</f>
        <v>&lt;=2</v>
      </c>
    </row>
    <row r="896" spans="1:16">
      <c r="A896" s="2">
        <v>13873</v>
      </c>
      <c r="B896" s="2" t="s">
        <v>16</v>
      </c>
      <c r="C896" s="2" t="s">
        <v>16</v>
      </c>
      <c r="D896" s="6">
        <v>70000</v>
      </c>
      <c r="E896" s="2">
        <v>3</v>
      </c>
      <c r="F896" s="2" t="s">
        <v>37</v>
      </c>
      <c r="G896" s="2" t="s">
        <v>25</v>
      </c>
      <c r="H896" s="2" t="s">
        <v>20</v>
      </c>
      <c r="I896" s="2">
        <v>0</v>
      </c>
      <c r="J896" s="4" t="s">
        <v>21</v>
      </c>
      <c r="K896" s="2" t="s">
        <v>38</v>
      </c>
      <c r="L896" s="2">
        <v>35</v>
      </c>
      <c r="M896" t="str" cm="1">
        <f t="array" ref="M896">_xlfn.IFS(L896&lt;=35,"YOUNG_ADULTS",L896&lt;=55,"MIDDLE_AGED",L896&gt;55,"OLD-AGED")</f>
        <v>YOUNG_ADULTS</v>
      </c>
      <c r="N896" s="2" t="s">
        <v>20</v>
      </c>
      <c r="O896" t="str" cm="1">
        <f t="array" ref="O896">_xlfn.IFS(D896&lt;=50000,"low income",D896&lt;=100000,"Mid income",D896&gt;100000,"High income")</f>
        <v>Mid income</v>
      </c>
      <c r="P896" t="str" cm="1">
        <f t="array" ref="P896">_xlfn.IFS(E896&lt;=2,"&lt;=2",E896&gt;2,"&gt;2")</f>
        <v>&gt;2</v>
      </c>
    </row>
    <row r="897" spans="1:16">
      <c r="A897" s="2">
        <v>20401</v>
      </c>
      <c r="B897" s="2" t="s">
        <v>16</v>
      </c>
      <c r="C897" s="2" t="s">
        <v>17</v>
      </c>
      <c r="D897" s="6">
        <v>50000</v>
      </c>
      <c r="E897" s="2">
        <v>4</v>
      </c>
      <c r="F897" s="2" t="s">
        <v>18</v>
      </c>
      <c r="G897" s="2" t="s">
        <v>34</v>
      </c>
      <c r="H897" s="2" t="s">
        <v>20</v>
      </c>
      <c r="I897" s="2">
        <v>2</v>
      </c>
      <c r="J897" s="4" t="s">
        <v>32</v>
      </c>
      <c r="K897" s="2" t="s">
        <v>38</v>
      </c>
      <c r="L897" s="2">
        <v>64</v>
      </c>
      <c r="M897" t="str" cm="1">
        <f t="array" ref="M897">_xlfn.IFS(L897&lt;=35,"YOUNG_ADULTS",L897&lt;=55,"MIDDLE_AGED",L897&gt;55,"OLD-AGED")</f>
        <v>OLD-AGED</v>
      </c>
      <c r="N897" s="2" t="s">
        <v>20</v>
      </c>
      <c r="O897" t="str" cm="1">
        <f t="array" ref="O897">_xlfn.IFS(D897&lt;=50000,"low income",D897&lt;=100000,"Mid income",D897&gt;100000,"High income")</f>
        <v>low income</v>
      </c>
      <c r="P897" t="str" cm="1">
        <f t="array" ref="P897">_xlfn.IFS(E897&lt;=2,"&lt;=2",E897&gt;2,"&gt;2")</f>
        <v>&gt;2</v>
      </c>
    </row>
    <row r="898" spans="1:16">
      <c r="A898" s="2">
        <v>21583</v>
      </c>
      <c r="B898" s="2" t="s">
        <v>16</v>
      </c>
      <c r="C898" s="2" t="s">
        <v>17</v>
      </c>
      <c r="D898" s="6">
        <v>50000</v>
      </c>
      <c r="E898" s="2">
        <v>1</v>
      </c>
      <c r="F898" s="2" t="s">
        <v>18</v>
      </c>
      <c r="G898" s="2" t="s">
        <v>19</v>
      </c>
      <c r="H898" s="2" t="s">
        <v>20</v>
      </c>
      <c r="I898" s="2">
        <v>0</v>
      </c>
      <c r="J898" s="4" t="s">
        <v>21</v>
      </c>
      <c r="K898" s="2" t="s">
        <v>38</v>
      </c>
      <c r="L898" s="2">
        <v>34</v>
      </c>
      <c r="M898" t="str" cm="1">
        <f t="array" ref="M898">_xlfn.IFS(L898&lt;=35,"YOUNG_ADULTS",L898&lt;=55,"MIDDLE_AGED",L898&gt;55,"OLD-AGED")</f>
        <v>YOUNG_ADULTS</v>
      </c>
      <c r="N898" s="2" t="s">
        <v>20</v>
      </c>
      <c r="O898" t="str" cm="1">
        <f t="array" ref="O898">_xlfn.IFS(D898&lt;=50000,"low income",D898&lt;=100000,"Mid income",D898&gt;100000,"High income")</f>
        <v>low income</v>
      </c>
      <c r="P898" t="str" cm="1">
        <f t="array" ref="P898">_xlfn.IFS(E898&lt;=2,"&lt;=2",E898&gt;2,"&gt;2")</f>
        <v>&lt;=2</v>
      </c>
    </row>
    <row r="899" spans="1:16">
      <c r="A899" s="2">
        <v>12029</v>
      </c>
      <c r="B899" s="2" t="s">
        <v>16</v>
      </c>
      <c r="C899" s="2" t="s">
        <v>16</v>
      </c>
      <c r="D899" s="6">
        <v>30000</v>
      </c>
      <c r="E899" s="2">
        <v>0</v>
      </c>
      <c r="F899" s="2" t="s">
        <v>35</v>
      </c>
      <c r="G899" s="2" t="s">
        <v>24</v>
      </c>
      <c r="H899" s="2" t="s">
        <v>26</v>
      </c>
      <c r="I899" s="2">
        <v>2</v>
      </c>
      <c r="J899" s="4" t="s">
        <v>21</v>
      </c>
      <c r="K899" s="2" t="s">
        <v>38</v>
      </c>
      <c r="L899" s="2">
        <v>28</v>
      </c>
      <c r="M899" t="str" cm="1">
        <f t="array" ref="M899">_xlfn.IFS(L899&lt;=35,"YOUNG_ADULTS",L899&lt;=55,"MIDDLE_AGED",L899&gt;55,"OLD-AGED")</f>
        <v>YOUNG_ADULTS</v>
      </c>
      <c r="O899" t="str" cm="1">
        <f t="array" ref="O899">_xlfn.IFS(D899&lt;=50000,"low income",D899&lt;=100000,"Mid income",D899&gt;100000,"High income")</f>
        <v>low income</v>
      </c>
      <c r="P899" t="str" cm="1">
        <f t="array" ref="P899">_xlfn.IFS(E899&lt;=2,"&lt;=2",E899&gt;2,"&gt;2")</f>
        <v>&lt;=2</v>
      </c>
    </row>
    <row r="900" spans="1:16">
      <c r="A900" s="2">
        <v>18066</v>
      </c>
      <c r="B900" s="2" t="s">
        <v>28</v>
      </c>
      <c r="C900" s="2" t="s">
        <v>16</v>
      </c>
      <c r="D900" s="6">
        <v>70000</v>
      </c>
      <c r="E900" s="2">
        <v>5</v>
      </c>
      <c r="F900" s="2" t="s">
        <v>18</v>
      </c>
      <c r="G900" s="2" t="s">
        <v>34</v>
      </c>
      <c r="H900" s="2" t="s">
        <v>20</v>
      </c>
      <c r="I900" s="2">
        <v>3</v>
      </c>
      <c r="J900" s="4" t="s">
        <v>36</v>
      </c>
      <c r="K900" s="2" t="s">
        <v>38</v>
      </c>
      <c r="L900" s="2">
        <v>60</v>
      </c>
      <c r="M900" t="str" cm="1">
        <f t="array" ref="M900">_xlfn.IFS(L900&lt;=35,"YOUNG_ADULTS",L900&lt;=55,"MIDDLE_AGED",L900&gt;55,"OLD-AGED")</f>
        <v>OLD-AGED</v>
      </c>
      <c r="N900" s="2" t="s">
        <v>20</v>
      </c>
      <c r="O900" t="str" cm="1">
        <f t="array" ref="O900">_xlfn.IFS(D900&lt;=50000,"low income",D900&lt;=100000,"Mid income",D900&gt;100000,"High income")</f>
        <v>Mid income</v>
      </c>
      <c r="P900" t="str" cm="1">
        <f t="array" ref="P900">_xlfn.IFS(E900&lt;=2,"&lt;=2",E900&gt;2,"&gt;2")</f>
        <v>&gt;2</v>
      </c>
    </row>
    <row r="901" spans="1:16">
      <c r="A901" s="2">
        <v>28192</v>
      </c>
      <c r="B901" s="2" t="s">
        <v>16</v>
      </c>
      <c r="C901" s="2" t="s">
        <v>17</v>
      </c>
      <c r="D901" s="6">
        <v>70000</v>
      </c>
      <c r="E901" s="2">
        <v>5</v>
      </c>
      <c r="F901" s="2" t="s">
        <v>37</v>
      </c>
      <c r="G901" s="2" t="s">
        <v>25</v>
      </c>
      <c r="H901" s="2" t="s">
        <v>20</v>
      </c>
      <c r="I901" s="2">
        <v>3</v>
      </c>
      <c r="J901" s="4" t="s">
        <v>36</v>
      </c>
      <c r="K901" s="2" t="s">
        <v>38</v>
      </c>
      <c r="L901" s="2">
        <v>46</v>
      </c>
      <c r="M901" t="str" cm="1">
        <f t="array" ref="M901">_xlfn.IFS(L901&lt;=35,"YOUNG_ADULTS",L901&lt;=55,"MIDDLE_AGED",L901&gt;55,"OLD-AGED")</f>
        <v>MIDDLE_AGED</v>
      </c>
      <c r="O901" t="str" cm="1">
        <f t="array" ref="O901">_xlfn.IFS(D901&lt;=50000,"low income",D901&lt;=100000,"Mid income",D901&gt;100000,"High income")</f>
        <v>Mid income</v>
      </c>
      <c r="P901" t="str" cm="1">
        <f t="array" ref="P901">_xlfn.IFS(E901&lt;=2,"&lt;=2",E901&gt;2,"&gt;2")</f>
        <v>&gt;2</v>
      </c>
    </row>
    <row r="902" spans="1:16">
      <c r="A902" s="2">
        <v>16122</v>
      </c>
      <c r="B902" s="2" t="s">
        <v>16</v>
      </c>
      <c r="C902" s="2" t="s">
        <v>16</v>
      </c>
      <c r="D902" s="6">
        <v>40000</v>
      </c>
      <c r="E902" s="2">
        <v>4</v>
      </c>
      <c r="F902" s="2" t="s">
        <v>33</v>
      </c>
      <c r="G902" s="2" t="s">
        <v>19</v>
      </c>
      <c r="H902" s="2" t="s">
        <v>20</v>
      </c>
      <c r="I902" s="2">
        <v>2</v>
      </c>
      <c r="J902" s="4" t="s">
        <v>21</v>
      </c>
      <c r="K902" s="2" t="s">
        <v>38</v>
      </c>
      <c r="L902" s="2">
        <v>44</v>
      </c>
      <c r="M902" t="str" cm="1">
        <f t="array" ref="M902">_xlfn.IFS(L902&lt;=35,"YOUNG_ADULTS",L902&lt;=55,"MIDDLE_AGED",L902&gt;55,"OLD-AGED")</f>
        <v>MIDDLE_AGED</v>
      </c>
      <c r="N902" s="2" t="s">
        <v>20</v>
      </c>
      <c r="O902" t="str" cm="1">
        <f t="array" ref="O902">_xlfn.IFS(D902&lt;=50000,"low income",D902&lt;=100000,"Mid income",D902&gt;100000,"High income")</f>
        <v>low income</v>
      </c>
      <c r="P902" t="str" cm="1">
        <f t="array" ref="P902">_xlfn.IFS(E902&lt;=2,"&lt;=2",E902&gt;2,"&gt;2")</f>
        <v>&gt;2</v>
      </c>
    </row>
    <row r="903" spans="1:16">
      <c r="A903" s="2">
        <v>18607</v>
      </c>
      <c r="B903" s="2" t="s">
        <v>28</v>
      </c>
      <c r="C903" s="2" t="s">
        <v>17</v>
      </c>
      <c r="D903" s="6">
        <v>60000</v>
      </c>
      <c r="E903" s="2">
        <v>4</v>
      </c>
      <c r="F903" s="2" t="s">
        <v>18</v>
      </c>
      <c r="G903" s="2" t="s">
        <v>19</v>
      </c>
      <c r="H903" s="2" t="s">
        <v>20</v>
      </c>
      <c r="I903" s="2">
        <v>2</v>
      </c>
      <c r="J903" s="4" t="s">
        <v>27</v>
      </c>
      <c r="K903" s="2" t="s">
        <v>38</v>
      </c>
      <c r="L903" s="2">
        <v>42</v>
      </c>
      <c r="M903" t="str" cm="1">
        <f t="array" ref="M903">_xlfn.IFS(L903&lt;=35,"YOUNG_ADULTS",L903&lt;=55,"MIDDLE_AGED",L903&gt;55,"OLD-AGED")</f>
        <v>MIDDLE_AGED</v>
      </c>
      <c r="N903" s="2" t="s">
        <v>20</v>
      </c>
      <c r="O903" t="str" cm="1">
        <f t="array" ref="O903">_xlfn.IFS(D903&lt;=50000,"low income",D903&lt;=100000,"Mid income",D903&gt;100000,"High income")</f>
        <v>Mid income</v>
      </c>
      <c r="P903" t="str" cm="1">
        <f t="array" ref="P903">_xlfn.IFS(E903&lt;=2,"&lt;=2",E903&gt;2,"&gt;2")</f>
        <v>&gt;2</v>
      </c>
    </row>
    <row r="904" spans="1:16">
      <c r="A904" s="2">
        <v>28858</v>
      </c>
      <c r="B904" s="2" t="s">
        <v>28</v>
      </c>
      <c r="C904" s="2" t="s">
        <v>16</v>
      </c>
      <c r="D904" s="6">
        <v>80000</v>
      </c>
      <c r="E904" s="2">
        <v>3</v>
      </c>
      <c r="F904" s="2" t="s">
        <v>18</v>
      </c>
      <c r="G904" s="2" t="s">
        <v>19</v>
      </c>
      <c r="H904" s="2" t="s">
        <v>20</v>
      </c>
      <c r="I904" s="2">
        <v>0</v>
      </c>
      <c r="J904" s="4" t="s">
        <v>27</v>
      </c>
      <c r="K904" s="2" t="s">
        <v>38</v>
      </c>
      <c r="L904" s="2">
        <v>40</v>
      </c>
      <c r="M904" t="str" cm="1">
        <f t="array" ref="M904">_xlfn.IFS(L904&lt;=35,"YOUNG_ADULTS",L904&lt;=55,"MIDDLE_AGED",L904&gt;55,"OLD-AGED")</f>
        <v>MIDDLE_AGED</v>
      </c>
      <c r="O904" t="str" cm="1">
        <f t="array" ref="O904">_xlfn.IFS(D904&lt;=50000,"low income",D904&lt;=100000,"Mid income",D904&gt;100000,"High income")</f>
        <v>Mid income</v>
      </c>
      <c r="P904" t="str" cm="1">
        <f t="array" ref="P904">_xlfn.IFS(E904&lt;=2,"&lt;=2",E904&gt;2,"&gt;2")</f>
        <v>&gt;2</v>
      </c>
    </row>
    <row r="905" spans="1:16">
      <c r="A905" s="2">
        <v>14432</v>
      </c>
      <c r="B905" s="2" t="s">
        <v>28</v>
      </c>
      <c r="C905" s="2" t="s">
        <v>16</v>
      </c>
      <c r="D905" s="6">
        <v>90000</v>
      </c>
      <c r="E905" s="2">
        <v>4</v>
      </c>
      <c r="F905" s="2" t="s">
        <v>37</v>
      </c>
      <c r="G905" s="2" t="s">
        <v>34</v>
      </c>
      <c r="H905" s="2" t="s">
        <v>20</v>
      </c>
      <c r="I905" s="2">
        <v>1</v>
      </c>
      <c r="J905" s="4" t="s">
        <v>29</v>
      </c>
      <c r="K905" s="2" t="s">
        <v>38</v>
      </c>
      <c r="L905" s="2">
        <v>73</v>
      </c>
      <c r="M905" t="str" cm="1">
        <f t="array" ref="M905">_xlfn.IFS(L905&lt;=35,"YOUNG_ADULTS",L905&lt;=55,"MIDDLE_AGED",L905&gt;55,"OLD-AGED")</f>
        <v>OLD-AGED</v>
      </c>
      <c r="O905" t="str" cm="1">
        <f t="array" ref="O905">_xlfn.IFS(D905&lt;=50000,"low income",D905&lt;=100000,"Mid income",D905&gt;100000,"High income")</f>
        <v>Mid income</v>
      </c>
      <c r="P905" t="str" cm="1">
        <f t="array" ref="P905">_xlfn.IFS(E905&lt;=2,"&lt;=2",E905&gt;2,"&gt;2")</f>
        <v>&gt;2</v>
      </c>
    </row>
    <row r="906" spans="1:16">
      <c r="A906" s="2">
        <v>26305</v>
      </c>
      <c r="B906" s="2" t="s">
        <v>28</v>
      </c>
      <c r="C906" s="2" t="s">
        <v>17</v>
      </c>
      <c r="D906" s="6">
        <v>60000</v>
      </c>
      <c r="E906" s="2">
        <v>2</v>
      </c>
      <c r="F906" s="2" t="s">
        <v>18</v>
      </c>
      <c r="G906" s="2" t="s">
        <v>19</v>
      </c>
      <c r="H906" s="2" t="s">
        <v>26</v>
      </c>
      <c r="I906" s="2">
        <v>0</v>
      </c>
      <c r="J906" s="4" t="s">
        <v>21</v>
      </c>
      <c r="K906" s="2" t="s">
        <v>38</v>
      </c>
      <c r="L906" s="2">
        <v>36</v>
      </c>
      <c r="M906" t="str" cm="1">
        <f t="array" ref="M906">_xlfn.IFS(L906&lt;=35,"YOUNG_ADULTS",L906&lt;=55,"MIDDLE_AGED",L906&gt;55,"OLD-AGED")</f>
        <v>MIDDLE_AGED</v>
      </c>
      <c r="N906" s="2" t="s">
        <v>20</v>
      </c>
      <c r="O906" t="str" cm="1">
        <f t="array" ref="O906">_xlfn.IFS(D906&lt;=50000,"low income",D906&lt;=100000,"Mid income",D906&gt;100000,"High income")</f>
        <v>Mid income</v>
      </c>
      <c r="P906" t="str" cm="1">
        <f t="array" ref="P906">_xlfn.IFS(E906&lt;=2,"&lt;=2",E906&gt;2,"&gt;2")</f>
        <v>&lt;=2</v>
      </c>
    </row>
    <row r="907" spans="1:16">
      <c r="A907" s="2">
        <v>22050</v>
      </c>
      <c r="B907" s="2" t="s">
        <v>28</v>
      </c>
      <c r="C907" s="2" t="s">
        <v>16</v>
      </c>
      <c r="D907" s="6">
        <v>90000</v>
      </c>
      <c r="E907" s="2">
        <v>4</v>
      </c>
      <c r="F907" s="2" t="s">
        <v>18</v>
      </c>
      <c r="G907" s="2" t="s">
        <v>34</v>
      </c>
      <c r="H907" s="2" t="s">
        <v>20</v>
      </c>
      <c r="I907" s="2">
        <v>1</v>
      </c>
      <c r="J907" s="4" t="s">
        <v>32</v>
      </c>
      <c r="K907" s="2" t="s">
        <v>38</v>
      </c>
      <c r="L907" s="2">
        <v>38</v>
      </c>
      <c r="M907" t="str" cm="1">
        <f t="array" ref="M907">_xlfn.IFS(L907&lt;=35,"YOUNG_ADULTS",L907&lt;=55,"MIDDLE_AGED",L907&gt;55,"OLD-AGED")</f>
        <v>MIDDLE_AGED</v>
      </c>
      <c r="N907" s="2" t="s">
        <v>20</v>
      </c>
      <c r="O907" t="str" cm="1">
        <f t="array" ref="O907">_xlfn.IFS(D907&lt;=50000,"low income",D907&lt;=100000,"Mid income",D907&gt;100000,"High income")</f>
        <v>Mid income</v>
      </c>
      <c r="P907" t="str" cm="1">
        <f t="array" ref="P907">_xlfn.IFS(E907&lt;=2,"&lt;=2",E907&gt;2,"&gt;2")</f>
        <v>&gt;2</v>
      </c>
    </row>
    <row r="908" spans="1:16">
      <c r="A908" s="2">
        <v>25394</v>
      </c>
      <c r="B908" s="2" t="s">
        <v>16</v>
      </c>
      <c r="C908" s="2" t="s">
        <v>16</v>
      </c>
      <c r="D908" s="6">
        <v>60000</v>
      </c>
      <c r="E908" s="2">
        <v>1</v>
      </c>
      <c r="F908" s="2" t="s">
        <v>37</v>
      </c>
      <c r="G908" s="2" t="s">
        <v>25</v>
      </c>
      <c r="H908" s="2" t="s">
        <v>20</v>
      </c>
      <c r="I908" s="2">
        <v>0</v>
      </c>
      <c r="J908" s="4" t="s">
        <v>27</v>
      </c>
      <c r="K908" s="2" t="s">
        <v>38</v>
      </c>
      <c r="L908" s="2">
        <v>34</v>
      </c>
      <c r="M908" t="str" cm="1">
        <f t="array" ref="M908">_xlfn.IFS(L908&lt;=35,"YOUNG_ADULTS",L908&lt;=55,"MIDDLE_AGED",L908&gt;55,"OLD-AGED")</f>
        <v>YOUNG_ADULTS</v>
      </c>
      <c r="N908" s="2" t="s">
        <v>20</v>
      </c>
      <c r="O908" t="str" cm="1">
        <f t="array" ref="O908">_xlfn.IFS(D908&lt;=50000,"low income",D908&lt;=100000,"Mid income",D908&gt;100000,"High income")</f>
        <v>Mid income</v>
      </c>
      <c r="P908" t="str" cm="1">
        <f t="array" ref="P908">_xlfn.IFS(E908&lt;=2,"&lt;=2",E908&gt;2,"&gt;2")</f>
        <v>&lt;=2</v>
      </c>
    </row>
    <row r="909" spans="1:16">
      <c r="A909" s="2">
        <v>19747</v>
      </c>
      <c r="B909" s="2" t="s">
        <v>16</v>
      </c>
      <c r="C909" s="2" t="s">
        <v>16</v>
      </c>
      <c r="D909" s="6">
        <v>50000</v>
      </c>
      <c r="E909" s="2">
        <v>4</v>
      </c>
      <c r="F909" s="2" t="s">
        <v>18</v>
      </c>
      <c r="G909" s="2" t="s">
        <v>34</v>
      </c>
      <c r="H909" s="2" t="s">
        <v>20</v>
      </c>
      <c r="I909" s="2">
        <v>2</v>
      </c>
      <c r="J909" s="4" t="s">
        <v>36</v>
      </c>
      <c r="K909" s="2" t="s">
        <v>38</v>
      </c>
      <c r="L909" s="2">
        <v>63</v>
      </c>
      <c r="M909" t="str" cm="1">
        <f t="array" ref="M909">_xlfn.IFS(L909&lt;=35,"YOUNG_ADULTS",L909&lt;=55,"MIDDLE_AGED",L909&gt;55,"OLD-AGED")</f>
        <v>OLD-AGED</v>
      </c>
      <c r="O909" t="str" cm="1">
        <f t="array" ref="O909">_xlfn.IFS(D909&lt;=50000,"low income",D909&lt;=100000,"Mid income",D909&gt;100000,"High income")</f>
        <v>low income</v>
      </c>
      <c r="P909" t="str" cm="1">
        <f t="array" ref="P909">_xlfn.IFS(E909&lt;=2,"&lt;=2",E909&gt;2,"&gt;2")</f>
        <v>&gt;2</v>
      </c>
    </row>
    <row r="910" spans="1:16">
      <c r="A910" s="2">
        <v>23195</v>
      </c>
      <c r="B910" s="2" t="s">
        <v>28</v>
      </c>
      <c r="C910" s="2" t="s">
        <v>16</v>
      </c>
      <c r="D910" s="6">
        <v>50000</v>
      </c>
      <c r="E910" s="2">
        <v>3</v>
      </c>
      <c r="F910" s="2" t="s">
        <v>18</v>
      </c>
      <c r="G910" s="2" t="s">
        <v>19</v>
      </c>
      <c r="H910" s="2" t="s">
        <v>20</v>
      </c>
      <c r="I910" s="2">
        <v>2</v>
      </c>
      <c r="J910" s="4" t="s">
        <v>27</v>
      </c>
      <c r="K910" s="2" t="s">
        <v>38</v>
      </c>
      <c r="L910" s="2">
        <v>41</v>
      </c>
      <c r="M910" t="str" cm="1">
        <f t="array" ref="M910">_xlfn.IFS(L910&lt;=35,"YOUNG_ADULTS",L910&lt;=55,"MIDDLE_AGED",L910&gt;55,"OLD-AGED")</f>
        <v>MIDDLE_AGED</v>
      </c>
      <c r="N910" s="2" t="s">
        <v>20</v>
      </c>
      <c r="O910" t="str" cm="1">
        <f t="array" ref="O910">_xlfn.IFS(D910&lt;=50000,"low income",D910&lt;=100000,"Mid income",D910&gt;100000,"High income")</f>
        <v>low income</v>
      </c>
      <c r="P910" t="str" cm="1">
        <f t="array" ref="P910">_xlfn.IFS(E910&lt;=2,"&lt;=2",E910&gt;2,"&gt;2")</f>
        <v>&gt;2</v>
      </c>
    </row>
    <row r="911" spans="1:16">
      <c r="A911" s="2">
        <v>21695</v>
      </c>
      <c r="B911" s="2" t="s">
        <v>16</v>
      </c>
      <c r="C911" s="2" t="s">
        <v>16</v>
      </c>
      <c r="D911" s="6">
        <v>60000</v>
      </c>
      <c r="E911" s="2">
        <v>0</v>
      </c>
      <c r="F911" s="2" t="s">
        <v>37</v>
      </c>
      <c r="G911" s="2" t="s">
        <v>19</v>
      </c>
      <c r="H911" s="2" t="s">
        <v>20</v>
      </c>
      <c r="I911" s="2">
        <v>0</v>
      </c>
      <c r="J911" s="4" t="s">
        <v>32</v>
      </c>
      <c r="K911" s="2" t="s">
        <v>38</v>
      </c>
      <c r="L911" s="2">
        <v>39</v>
      </c>
      <c r="M911" t="str" cm="1">
        <f t="array" ref="M911">_xlfn.IFS(L911&lt;=35,"YOUNG_ADULTS",L911&lt;=55,"MIDDLE_AGED",L911&gt;55,"OLD-AGED")</f>
        <v>MIDDLE_AGED</v>
      </c>
      <c r="N911" s="2" t="s">
        <v>20</v>
      </c>
      <c r="O911" t="str" cm="1">
        <f t="array" ref="O911">_xlfn.IFS(D911&lt;=50000,"low income",D911&lt;=100000,"Mid income",D911&gt;100000,"High income")</f>
        <v>Mid income</v>
      </c>
      <c r="P911" t="str" cm="1">
        <f t="array" ref="P911">_xlfn.IFS(E911&lt;=2,"&lt;=2",E911&gt;2,"&gt;2")</f>
        <v>&lt;=2</v>
      </c>
    </row>
    <row r="912" spans="1:16">
      <c r="A912" s="2">
        <v>13934</v>
      </c>
      <c r="B912" s="2" t="s">
        <v>16</v>
      </c>
      <c r="C912" s="2" t="s">
        <v>16</v>
      </c>
      <c r="D912" s="6">
        <v>40000</v>
      </c>
      <c r="E912" s="2">
        <v>4</v>
      </c>
      <c r="F912" s="2" t="s">
        <v>33</v>
      </c>
      <c r="G912" s="2" t="s">
        <v>19</v>
      </c>
      <c r="H912" s="2" t="s">
        <v>20</v>
      </c>
      <c r="I912" s="2">
        <v>2</v>
      </c>
      <c r="J912" s="4" t="s">
        <v>27</v>
      </c>
      <c r="K912" s="2" t="s">
        <v>38</v>
      </c>
      <c r="L912" s="2">
        <v>46</v>
      </c>
      <c r="M912" t="str" cm="1">
        <f t="array" ref="M912">_xlfn.IFS(L912&lt;=35,"YOUNG_ADULTS",L912&lt;=55,"MIDDLE_AGED",L912&gt;55,"OLD-AGED")</f>
        <v>MIDDLE_AGED</v>
      </c>
      <c r="O912" t="str" cm="1">
        <f t="array" ref="O912">_xlfn.IFS(D912&lt;=50000,"low income",D912&lt;=100000,"Mid income",D912&gt;100000,"High income")</f>
        <v>low income</v>
      </c>
      <c r="P912" t="str" cm="1">
        <f t="array" ref="P912">_xlfn.IFS(E912&lt;=2,"&lt;=2",E912&gt;2,"&gt;2")</f>
        <v>&gt;2</v>
      </c>
    </row>
    <row r="913" spans="1:16">
      <c r="A913" s="2">
        <v>13337</v>
      </c>
      <c r="B913" s="2" t="s">
        <v>16</v>
      </c>
      <c r="C913" s="2" t="s">
        <v>17</v>
      </c>
      <c r="D913" s="6">
        <v>80000</v>
      </c>
      <c r="E913" s="2">
        <v>5</v>
      </c>
      <c r="F913" s="2" t="s">
        <v>18</v>
      </c>
      <c r="G913" s="2" t="s">
        <v>34</v>
      </c>
      <c r="H913" s="2" t="s">
        <v>20</v>
      </c>
      <c r="I913" s="2">
        <v>2</v>
      </c>
      <c r="J913" s="4" t="s">
        <v>29</v>
      </c>
      <c r="K913" s="2" t="s">
        <v>38</v>
      </c>
      <c r="L913" s="2">
        <v>64</v>
      </c>
      <c r="M913" t="str" cm="1">
        <f t="array" ref="M913">_xlfn.IFS(L913&lt;=35,"YOUNG_ADULTS",L913&lt;=55,"MIDDLE_AGED",L913&gt;55,"OLD-AGED")</f>
        <v>OLD-AGED</v>
      </c>
      <c r="O913" t="str" cm="1">
        <f t="array" ref="O913">_xlfn.IFS(D913&lt;=50000,"low income",D913&lt;=100000,"Mid income",D913&gt;100000,"High income")</f>
        <v>Mid income</v>
      </c>
      <c r="P913" t="str" cm="1">
        <f t="array" ref="P913">_xlfn.IFS(E913&lt;=2,"&lt;=2",E913&gt;2,"&gt;2")</f>
        <v>&gt;2</v>
      </c>
    </row>
    <row r="914" spans="1:16">
      <c r="A914" s="2">
        <v>27190</v>
      </c>
      <c r="B914" s="2" t="s">
        <v>16</v>
      </c>
      <c r="C914" s="2" t="s">
        <v>17</v>
      </c>
      <c r="D914" s="6">
        <v>40000</v>
      </c>
      <c r="E914" s="2">
        <v>3</v>
      </c>
      <c r="F914" s="2" t="s">
        <v>23</v>
      </c>
      <c r="G914" s="2" t="s">
        <v>24</v>
      </c>
      <c r="H914" s="2" t="s">
        <v>20</v>
      </c>
      <c r="I914" s="2">
        <v>1</v>
      </c>
      <c r="J914" s="4" t="s">
        <v>32</v>
      </c>
      <c r="K914" s="2" t="s">
        <v>38</v>
      </c>
      <c r="L914" s="2">
        <v>32</v>
      </c>
      <c r="M914" t="str" cm="1">
        <f t="array" ref="M914">_xlfn.IFS(L914&lt;=35,"YOUNG_ADULTS",L914&lt;=55,"MIDDLE_AGED",L914&gt;55,"OLD-AGED")</f>
        <v>YOUNG_ADULTS</v>
      </c>
      <c r="O914" t="str" cm="1">
        <f t="array" ref="O914">_xlfn.IFS(D914&lt;=50000,"low income",D914&lt;=100000,"Mid income",D914&gt;100000,"High income")</f>
        <v>low income</v>
      </c>
      <c r="P914" t="str" cm="1">
        <f t="array" ref="P914">_xlfn.IFS(E914&lt;=2,"&lt;=2",E914&gt;2,"&gt;2")</f>
        <v>&gt;2</v>
      </c>
    </row>
    <row r="915" spans="1:16">
      <c r="A915" s="2">
        <v>28657</v>
      </c>
      <c r="B915" s="2" t="s">
        <v>28</v>
      </c>
      <c r="C915" s="2" t="s">
        <v>16</v>
      </c>
      <c r="D915" s="6">
        <v>60000</v>
      </c>
      <c r="E915" s="2">
        <v>2</v>
      </c>
      <c r="F915" s="2" t="s">
        <v>18</v>
      </c>
      <c r="G915" s="2" t="s">
        <v>19</v>
      </c>
      <c r="H915" s="2" t="s">
        <v>20</v>
      </c>
      <c r="I915" s="2">
        <v>0</v>
      </c>
      <c r="J915" s="4" t="s">
        <v>27</v>
      </c>
      <c r="K915" s="2" t="s">
        <v>38</v>
      </c>
      <c r="L915" s="2">
        <v>36</v>
      </c>
      <c r="M915" t="str" cm="1">
        <f t="array" ref="M915">_xlfn.IFS(L915&lt;=35,"YOUNG_ADULTS",L915&lt;=55,"MIDDLE_AGED",L915&gt;55,"OLD-AGED")</f>
        <v>MIDDLE_AGED</v>
      </c>
      <c r="N915" s="2" t="s">
        <v>20</v>
      </c>
      <c r="O915" t="str" cm="1">
        <f t="array" ref="O915">_xlfn.IFS(D915&lt;=50000,"low income",D915&lt;=100000,"Mid income",D915&gt;100000,"High income")</f>
        <v>Mid income</v>
      </c>
      <c r="P915" t="str" cm="1">
        <f t="array" ref="P915">_xlfn.IFS(E915&lt;=2,"&lt;=2",E915&gt;2,"&gt;2")</f>
        <v>&lt;=2</v>
      </c>
    </row>
    <row r="916" spans="1:16">
      <c r="A916" s="2">
        <v>21713</v>
      </c>
      <c r="B916" s="2" t="s">
        <v>28</v>
      </c>
      <c r="C916" s="2" t="s">
        <v>16</v>
      </c>
      <c r="D916" s="6">
        <v>80000</v>
      </c>
      <c r="E916" s="2">
        <v>5</v>
      </c>
      <c r="F916" s="2" t="s">
        <v>37</v>
      </c>
      <c r="G916" s="2" t="s">
        <v>19</v>
      </c>
      <c r="H916" s="2" t="s">
        <v>26</v>
      </c>
      <c r="I916" s="2">
        <v>0</v>
      </c>
      <c r="J916" s="4" t="s">
        <v>21</v>
      </c>
      <c r="K916" s="2" t="s">
        <v>38</v>
      </c>
      <c r="L916" s="2">
        <v>47</v>
      </c>
      <c r="M916" t="str" cm="1">
        <f t="array" ref="M916">_xlfn.IFS(L916&lt;=35,"YOUNG_ADULTS",L916&lt;=55,"MIDDLE_AGED",L916&gt;55,"OLD-AGED")</f>
        <v>MIDDLE_AGED</v>
      </c>
      <c r="O916" t="str" cm="1">
        <f t="array" ref="O916">_xlfn.IFS(D916&lt;=50000,"low income",D916&lt;=100000,"Mid income",D916&gt;100000,"High income")</f>
        <v>Mid income</v>
      </c>
      <c r="P916" t="str" cm="1">
        <f t="array" ref="P916">_xlfn.IFS(E916&lt;=2,"&lt;=2",E916&gt;2,"&gt;2")</f>
        <v>&gt;2</v>
      </c>
    </row>
    <row r="917" spans="1:16">
      <c r="A917" s="2">
        <v>21752</v>
      </c>
      <c r="B917" s="2" t="s">
        <v>16</v>
      </c>
      <c r="C917" s="2" t="s">
        <v>16</v>
      </c>
      <c r="D917" s="6">
        <v>60000</v>
      </c>
      <c r="E917" s="2">
        <v>3</v>
      </c>
      <c r="F917" s="2" t="s">
        <v>37</v>
      </c>
      <c r="G917" s="2" t="s">
        <v>34</v>
      </c>
      <c r="H917" s="2" t="s">
        <v>20</v>
      </c>
      <c r="I917" s="2">
        <v>2</v>
      </c>
      <c r="J917" s="4" t="s">
        <v>36</v>
      </c>
      <c r="K917" s="2" t="s">
        <v>38</v>
      </c>
      <c r="L917" s="2">
        <v>64</v>
      </c>
      <c r="M917" t="str" cm="1">
        <f t="array" ref="M917">_xlfn.IFS(L917&lt;=35,"YOUNG_ADULTS",L917&lt;=55,"MIDDLE_AGED",L917&gt;55,"OLD-AGED")</f>
        <v>OLD-AGED</v>
      </c>
      <c r="O917" t="str" cm="1">
        <f t="array" ref="O917">_xlfn.IFS(D917&lt;=50000,"low income",D917&lt;=100000,"Mid income",D917&gt;100000,"High income")</f>
        <v>Mid income</v>
      </c>
      <c r="P917" t="str" cm="1">
        <f t="array" ref="P917">_xlfn.IFS(E917&lt;=2,"&lt;=2",E917&gt;2,"&gt;2")</f>
        <v>&gt;2</v>
      </c>
    </row>
    <row r="918" spans="1:16">
      <c r="A918" s="2">
        <v>27273</v>
      </c>
      <c r="B918" s="2" t="s">
        <v>28</v>
      </c>
      <c r="C918" s="2" t="s">
        <v>16</v>
      </c>
      <c r="D918" s="6">
        <v>70000</v>
      </c>
      <c r="E918" s="2">
        <v>3</v>
      </c>
      <c r="F918" s="2" t="s">
        <v>37</v>
      </c>
      <c r="G918" s="2" t="s">
        <v>25</v>
      </c>
      <c r="H918" s="2" t="s">
        <v>26</v>
      </c>
      <c r="I918" s="2">
        <v>0</v>
      </c>
      <c r="J918" s="4" t="s">
        <v>21</v>
      </c>
      <c r="K918" s="2" t="s">
        <v>38</v>
      </c>
      <c r="L918" s="2">
        <v>35</v>
      </c>
      <c r="M918" t="str" cm="1">
        <f t="array" ref="M918">_xlfn.IFS(L918&lt;=35,"YOUNG_ADULTS",L918&lt;=55,"MIDDLE_AGED",L918&gt;55,"OLD-AGED")</f>
        <v>YOUNG_ADULTS</v>
      </c>
      <c r="N918" s="2" t="s">
        <v>20</v>
      </c>
      <c r="O918" t="str" cm="1">
        <f t="array" ref="O918">_xlfn.IFS(D918&lt;=50000,"low income",D918&lt;=100000,"Mid income",D918&gt;100000,"High income")</f>
        <v>Mid income</v>
      </c>
      <c r="P918" t="str" cm="1">
        <f t="array" ref="P918">_xlfn.IFS(E918&lt;=2,"&lt;=2",E918&gt;2,"&gt;2")</f>
        <v>&gt;2</v>
      </c>
    </row>
    <row r="919" spans="1:16">
      <c r="A919" s="2">
        <v>22719</v>
      </c>
      <c r="B919" s="2" t="s">
        <v>28</v>
      </c>
      <c r="C919" s="2" t="s">
        <v>16</v>
      </c>
      <c r="D919" s="6">
        <v>110000</v>
      </c>
      <c r="E919" s="2">
        <v>3</v>
      </c>
      <c r="F919" s="2" t="s">
        <v>18</v>
      </c>
      <c r="G919" s="2" t="s">
        <v>34</v>
      </c>
      <c r="H919" s="2" t="s">
        <v>20</v>
      </c>
      <c r="I919" s="2">
        <v>4</v>
      </c>
      <c r="J919" s="4" t="s">
        <v>27</v>
      </c>
      <c r="K919" s="2" t="s">
        <v>38</v>
      </c>
      <c r="L919" s="2">
        <v>40</v>
      </c>
      <c r="M919" t="str" cm="1">
        <f t="array" ref="M919">_xlfn.IFS(L919&lt;=35,"YOUNG_ADULTS",L919&lt;=55,"MIDDLE_AGED",L919&gt;55,"OLD-AGED")</f>
        <v>MIDDLE_AGED</v>
      </c>
      <c r="N919" s="2" t="s">
        <v>20</v>
      </c>
      <c r="O919" t="str" cm="1">
        <f t="array" ref="O919">_xlfn.IFS(D919&lt;=50000,"low income",D919&lt;=100000,"Mid income",D919&gt;100000,"High income")</f>
        <v>High income</v>
      </c>
      <c r="P919" t="str" cm="1">
        <f t="array" ref="P919">_xlfn.IFS(E919&lt;=2,"&lt;=2",E919&gt;2,"&gt;2")</f>
        <v>&gt;2</v>
      </c>
    </row>
    <row r="920" spans="1:16">
      <c r="A920" s="2">
        <v>22042</v>
      </c>
      <c r="B920" s="2" t="s">
        <v>16</v>
      </c>
      <c r="C920" s="2" t="s">
        <v>17</v>
      </c>
      <c r="D920" s="6">
        <v>70000</v>
      </c>
      <c r="E920" s="2">
        <v>0</v>
      </c>
      <c r="F920" s="2" t="s">
        <v>23</v>
      </c>
      <c r="G920" s="2" t="s">
        <v>19</v>
      </c>
      <c r="H920" s="2" t="s">
        <v>20</v>
      </c>
      <c r="I920" s="2">
        <v>2</v>
      </c>
      <c r="J920" s="4" t="s">
        <v>29</v>
      </c>
      <c r="K920" s="2" t="s">
        <v>38</v>
      </c>
      <c r="L920" s="2">
        <v>34</v>
      </c>
      <c r="M920" t="str" cm="1">
        <f t="array" ref="M920">_xlfn.IFS(L920&lt;=35,"YOUNG_ADULTS",L920&lt;=55,"MIDDLE_AGED",L920&gt;55,"OLD-AGED")</f>
        <v>YOUNG_ADULTS</v>
      </c>
      <c r="N920" s="2" t="s">
        <v>20</v>
      </c>
      <c r="O920" t="str" cm="1">
        <f t="array" ref="O920">_xlfn.IFS(D920&lt;=50000,"low income",D920&lt;=100000,"Mid income",D920&gt;100000,"High income")</f>
        <v>Mid income</v>
      </c>
      <c r="P920" t="str" cm="1">
        <f t="array" ref="P920">_xlfn.IFS(E920&lt;=2,"&lt;=2",E920&gt;2,"&gt;2")</f>
        <v>&lt;=2</v>
      </c>
    </row>
    <row r="921" spans="1:16">
      <c r="A921" s="2">
        <v>21451</v>
      </c>
      <c r="B921" s="2" t="s">
        <v>16</v>
      </c>
      <c r="C921" s="2" t="s">
        <v>17</v>
      </c>
      <c r="D921" s="6">
        <v>40000</v>
      </c>
      <c r="E921" s="2">
        <v>4</v>
      </c>
      <c r="F921" s="2" t="s">
        <v>33</v>
      </c>
      <c r="G921" s="2" t="s">
        <v>25</v>
      </c>
      <c r="H921" s="2" t="s">
        <v>20</v>
      </c>
      <c r="I921" s="2">
        <v>2</v>
      </c>
      <c r="J921" s="4" t="s">
        <v>36</v>
      </c>
      <c r="K921" s="2" t="s">
        <v>38</v>
      </c>
      <c r="L921" s="2">
        <v>61</v>
      </c>
      <c r="M921" t="str" cm="1">
        <f t="array" ref="M921">_xlfn.IFS(L921&lt;=35,"YOUNG_ADULTS",L921&lt;=55,"MIDDLE_AGED",L921&gt;55,"OLD-AGED")</f>
        <v>OLD-AGED</v>
      </c>
      <c r="O921" t="str" cm="1">
        <f t="array" ref="O921">_xlfn.IFS(D921&lt;=50000,"low income",D921&lt;=100000,"Mid income",D921&gt;100000,"High income")</f>
        <v>low income</v>
      </c>
      <c r="P921" t="str" cm="1">
        <f t="array" ref="P921">_xlfn.IFS(E921&lt;=2,"&lt;=2",E921&gt;2,"&gt;2")</f>
        <v>&gt;2</v>
      </c>
    </row>
    <row r="922" spans="1:16">
      <c r="A922" s="2">
        <v>20754</v>
      </c>
      <c r="B922" s="2" t="s">
        <v>16</v>
      </c>
      <c r="C922" s="2" t="s">
        <v>16</v>
      </c>
      <c r="D922" s="6">
        <v>30000</v>
      </c>
      <c r="E922" s="2">
        <v>2</v>
      </c>
      <c r="F922" s="2" t="s">
        <v>33</v>
      </c>
      <c r="G922" s="2" t="s">
        <v>19</v>
      </c>
      <c r="H922" s="2" t="s">
        <v>20</v>
      </c>
      <c r="I922" s="2">
        <v>2</v>
      </c>
      <c r="J922" s="4" t="s">
        <v>32</v>
      </c>
      <c r="K922" s="2" t="s">
        <v>38</v>
      </c>
      <c r="L922" s="2">
        <v>51</v>
      </c>
      <c r="M922" t="str" cm="1">
        <f t="array" ref="M922">_xlfn.IFS(L922&lt;=35,"YOUNG_ADULTS",L922&lt;=55,"MIDDLE_AGED",L922&gt;55,"OLD-AGED")</f>
        <v>MIDDLE_AGED</v>
      </c>
      <c r="O922" t="str" cm="1">
        <f t="array" ref="O922">_xlfn.IFS(D922&lt;=50000,"low income",D922&lt;=100000,"Mid income",D922&gt;100000,"High income")</f>
        <v>low income</v>
      </c>
      <c r="P922" t="str" cm="1">
        <f t="array" ref="P922">_xlfn.IFS(E922&lt;=2,"&lt;=2",E922&gt;2,"&gt;2")</f>
        <v>&lt;=2</v>
      </c>
    </row>
    <row r="923" spans="1:16">
      <c r="A923" s="2">
        <v>12153</v>
      </c>
      <c r="B923" s="2" t="s">
        <v>28</v>
      </c>
      <c r="C923" s="2" t="s">
        <v>17</v>
      </c>
      <c r="D923" s="6">
        <v>70000</v>
      </c>
      <c r="E923" s="2">
        <v>3</v>
      </c>
      <c r="F923" s="2" t="s">
        <v>23</v>
      </c>
      <c r="G923" s="2" t="s">
        <v>25</v>
      </c>
      <c r="H923" s="2" t="s">
        <v>20</v>
      </c>
      <c r="I923" s="2">
        <v>1</v>
      </c>
      <c r="J923" s="4" t="s">
        <v>29</v>
      </c>
      <c r="K923" s="2" t="s">
        <v>38</v>
      </c>
      <c r="L923" s="2">
        <v>49</v>
      </c>
      <c r="M923" t="str" cm="1">
        <f t="array" ref="M923">_xlfn.IFS(L923&lt;=35,"YOUNG_ADULTS",L923&lt;=55,"MIDDLE_AGED",L923&gt;55,"OLD-AGED")</f>
        <v>MIDDLE_AGED</v>
      </c>
      <c r="N923" s="2" t="s">
        <v>20</v>
      </c>
      <c r="O923" t="str" cm="1">
        <f t="array" ref="O923">_xlfn.IFS(D923&lt;=50000,"low income",D923&lt;=100000,"Mid income",D923&gt;100000,"High income")</f>
        <v>Mid income</v>
      </c>
      <c r="P923" t="str" cm="1">
        <f t="array" ref="P923">_xlfn.IFS(E923&lt;=2,"&lt;=2",E923&gt;2,"&gt;2")</f>
        <v>&gt;2</v>
      </c>
    </row>
    <row r="924" spans="1:16">
      <c r="A924" s="2">
        <v>16895</v>
      </c>
      <c r="B924" s="2" t="s">
        <v>16</v>
      </c>
      <c r="C924" s="2" t="s">
        <v>17</v>
      </c>
      <c r="D924" s="6">
        <v>40000</v>
      </c>
      <c r="E924" s="2">
        <v>3</v>
      </c>
      <c r="F924" s="2" t="s">
        <v>23</v>
      </c>
      <c r="G924" s="2" t="s">
        <v>25</v>
      </c>
      <c r="H924" s="2" t="s">
        <v>26</v>
      </c>
      <c r="I924" s="2">
        <v>2</v>
      </c>
      <c r="J924" s="4" t="s">
        <v>32</v>
      </c>
      <c r="K924" s="2" t="s">
        <v>38</v>
      </c>
      <c r="L924" s="2">
        <v>54</v>
      </c>
      <c r="M924" t="str" cm="1">
        <f t="array" ref="M924">_xlfn.IFS(L924&lt;=35,"YOUNG_ADULTS",L924&lt;=55,"MIDDLE_AGED",L924&gt;55,"OLD-AGED")</f>
        <v>MIDDLE_AGED</v>
      </c>
      <c r="N924" s="2" t="s">
        <v>20</v>
      </c>
      <c r="O924" t="str" cm="1">
        <f t="array" ref="O924">_xlfn.IFS(D924&lt;=50000,"low income",D924&lt;=100000,"Mid income",D924&gt;100000,"High income")</f>
        <v>low income</v>
      </c>
      <c r="P924" t="str" cm="1">
        <f t="array" ref="P924">_xlfn.IFS(E924&lt;=2,"&lt;=2",E924&gt;2,"&gt;2")</f>
        <v>&gt;2</v>
      </c>
    </row>
    <row r="925" spans="1:16">
      <c r="A925" s="2">
        <v>26728</v>
      </c>
      <c r="B925" s="2" t="s">
        <v>28</v>
      </c>
      <c r="C925" s="2" t="s">
        <v>16</v>
      </c>
      <c r="D925" s="6">
        <v>70000</v>
      </c>
      <c r="E925" s="2">
        <v>3</v>
      </c>
      <c r="F925" s="2" t="s">
        <v>37</v>
      </c>
      <c r="G925" s="2" t="s">
        <v>34</v>
      </c>
      <c r="H925" s="2" t="s">
        <v>26</v>
      </c>
      <c r="I925" s="2">
        <v>2</v>
      </c>
      <c r="J925" s="4" t="s">
        <v>32</v>
      </c>
      <c r="K925" s="2" t="s">
        <v>38</v>
      </c>
      <c r="L925" s="2">
        <v>53</v>
      </c>
      <c r="M925" t="str" cm="1">
        <f t="array" ref="M925">_xlfn.IFS(L925&lt;=35,"YOUNG_ADULTS",L925&lt;=55,"MIDDLE_AGED",L925&gt;55,"OLD-AGED")</f>
        <v>MIDDLE_AGED</v>
      </c>
      <c r="N925" s="2" t="s">
        <v>20</v>
      </c>
      <c r="O925" t="str" cm="1">
        <f t="array" ref="O925">_xlfn.IFS(D925&lt;=50000,"low income",D925&lt;=100000,"Mid income",D925&gt;100000,"High income")</f>
        <v>Mid income</v>
      </c>
      <c r="P925" t="str" cm="1">
        <f t="array" ref="P925">_xlfn.IFS(E925&lt;=2,"&lt;=2",E925&gt;2,"&gt;2")</f>
        <v>&gt;2</v>
      </c>
    </row>
    <row r="926" spans="1:16">
      <c r="A926" s="2">
        <v>11090</v>
      </c>
      <c r="B926" s="2" t="s">
        <v>28</v>
      </c>
      <c r="C926" s="2" t="s">
        <v>16</v>
      </c>
      <c r="D926" s="6">
        <v>90000</v>
      </c>
      <c r="E926" s="2">
        <v>2</v>
      </c>
      <c r="F926" s="2" t="s">
        <v>23</v>
      </c>
      <c r="G926" s="2" t="s">
        <v>25</v>
      </c>
      <c r="H926" s="2" t="s">
        <v>20</v>
      </c>
      <c r="I926" s="2">
        <v>1</v>
      </c>
      <c r="J926" s="4" t="s">
        <v>27</v>
      </c>
      <c r="K926" s="2" t="s">
        <v>38</v>
      </c>
      <c r="L926" s="2">
        <v>48</v>
      </c>
      <c r="M926" t="str" cm="1">
        <f t="array" ref="M926">_xlfn.IFS(L926&lt;=35,"YOUNG_ADULTS",L926&lt;=55,"MIDDLE_AGED",L926&gt;55,"OLD-AGED")</f>
        <v>MIDDLE_AGED</v>
      </c>
      <c r="N926" s="2" t="s">
        <v>20</v>
      </c>
      <c r="O926" t="str" cm="1">
        <f t="array" ref="O926">_xlfn.IFS(D926&lt;=50000,"low income",D926&lt;=100000,"Mid income",D926&gt;100000,"High income")</f>
        <v>Mid income</v>
      </c>
      <c r="P926" t="str" cm="1">
        <f t="array" ref="P926">_xlfn.IFS(E926&lt;=2,"&lt;=2",E926&gt;2,"&gt;2")</f>
        <v>&lt;=2</v>
      </c>
    </row>
    <row r="927" spans="1:16">
      <c r="A927" s="2">
        <v>15862</v>
      </c>
      <c r="B927" s="2" t="s">
        <v>28</v>
      </c>
      <c r="C927" s="2" t="s">
        <v>17</v>
      </c>
      <c r="D927" s="6">
        <v>50000</v>
      </c>
      <c r="E927" s="2">
        <v>0</v>
      </c>
      <c r="F927" s="2" t="s">
        <v>37</v>
      </c>
      <c r="G927" s="2" t="s">
        <v>19</v>
      </c>
      <c r="H927" s="2" t="s">
        <v>20</v>
      </c>
      <c r="I927" s="2">
        <v>0</v>
      </c>
      <c r="J927" s="4" t="s">
        <v>32</v>
      </c>
      <c r="K927" s="2" t="s">
        <v>38</v>
      </c>
      <c r="L927" s="2">
        <v>33</v>
      </c>
      <c r="M927" t="str" cm="1">
        <f t="array" ref="M927">_xlfn.IFS(L927&lt;=35,"YOUNG_ADULTS",L927&lt;=55,"MIDDLE_AGED",L927&gt;55,"OLD-AGED")</f>
        <v>YOUNG_ADULTS</v>
      </c>
      <c r="N927" s="2" t="s">
        <v>20</v>
      </c>
      <c r="O927" t="str" cm="1">
        <f t="array" ref="O927">_xlfn.IFS(D927&lt;=50000,"low income",D927&lt;=100000,"Mid income",D927&gt;100000,"High income")</f>
        <v>low income</v>
      </c>
      <c r="P927" t="str" cm="1">
        <f t="array" ref="P927">_xlfn.IFS(E927&lt;=2,"&lt;=2",E927&gt;2,"&gt;2")</f>
        <v>&lt;=2</v>
      </c>
    </row>
    <row r="928" spans="1:16">
      <c r="A928" s="2">
        <v>26495</v>
      </c>
      <c r="B928" s="2" t="s">
        <v>28</v>
      </c>
      <c r="C928" s="2" t="s">
        <v>17</v>
      </c>
      <c r="D928" s="6">
        <v>40000</v>
      </c>
      <c r="E928" s="2">
        <v>2</v>
      </c>
      <c r="F928" s="2" t="s">
        <v>33</v>
      </c>
      <c r="G928" s="2" t="s">
        <v>25</v>
      </c>
      <c r="H928" s="2" t="s">
        <v>20</v>
      </c>
      <c r="I928" s="2">
        <v>2</v>
      </c>
      <c r="J928" s="4" t="s">
        <v>36</v>
      </c>
      <c r="K928" s="2" t="s">
        <v>38</v>
      </c>
      <c r="L928" s="2">
        <v>57</v>
      </c>
      <c r="M928" t="str" cm="1">
        <f t="array" ref="M928">_xlfn.IFS(L928&lt;=35,"YOUNG_ADULTS",L928&lt;=55,"MIDDLE_AGED",L928&gt;55,"OLD-AGED")</f>
        <v>OLD-AGED</v>
      </c>
      <c r="O928" t="str" cm="1">
        <f t="array" ref="O928">_xlfn.IFS(D928&lt;=50000,"low income",D928&lt;=100000,"Mid income",D928&gt;100000,"High income")</f>
        <v>low income</v>
      </c>
      <c r="P928" t="str" cm="1">
        <f t="array" ref="P928">_xlfn.IFS(E928&lt;=2,"&lt;=2",E928&gt;2,"&gt;2")</f>
        <v>&lt;=2</v>
      </c>
    </row>
    <row r="929" spans="1:16">
      <c r="A929" s="2">
        <v>11823</v>
      </c>
      <c r="B929" s="2" t="s">
        <v>16</v>
      </c>
      <c r="C929" s="2" t="s">
        <v>17</v>
      </c>
      <c r="D929" s="6">
        <v>70000</v>
      </c>
      <c r="E929" s="2">
        <v>0</v>
      </c>
      <c r="F929" s="2" t="s">
        <v>37</v>
      </c>
      <c r="G929" s="2" t="s">
        <v>25</v>
      </c>
      <c r="H929" s="2" t="s">
        <v>20</v>
      </c>
      <c r="I929" s="2">
        <v>0</v>
      </c>
      <c r="J929" s="4" t="s">
        <v>27</v>
      </c>
      <c r="K929" s="2" t="s">
        <v>38</v>
      </c>
      <c r="L929" s="2">
        <v>39</v>
      </c>
      <c r="M929" t="str" cm="1">
        <f t="array" ref="M929">_xlfn.IFS(L929&lt;=35,"YOUNG_ADULTS",L929&lt;=55,"MIDDLE_AGED",L929&gt;55,"OLD-AGED")</f>
        <v>MIDDLE_AGED</v>
      </c>
      <c r="O929" t="str" cm="1">
        <f t="array" ref="O929">_xlfn.IFS(D929&lt;=50000,"low income",D929&lt;=100000,"Mid income",D929&gt;100000,"High income")</f>
        <v>Mid income</v>
      </c>
      <c r="P929" t="str" cm="1">
        <f t="array" ref="P929">_xlfn.IFS(E929&lt;=2,"&lt;=2",E929&gt;2,"&gt;2")</f>
        <v>&lt;=2</v>
      </c>
    </row>
    <row r="930" spans="1:16">
      <c r="A930" s="2">
        <v>23449</v>
      </c>
      <c r="B930" s="2" t="s">
        <v>16</v>
      </c>
      <c r="C930" s="2" t="s">
        <v>16</v>
      </c>
      <c r="D930" s="6">
        <v>60000</v>
      </c>
      <c r="E930" s="2">
        <v>2</v>
      </c>
      <c r="F930" s="2" t="s">
        <v>33</v>
      </c>
      <c r="G930" s="2" t="s">
        <v>25</v>
      </c>
      <c r="H930" s="2" t="s">
        <v>20</v>
      </c>
      <c r="I930" s="2">
        <v>2</v>
      </c>
      <c r="J930" s="4" t="s">
        <v>29</v>
      </c>
      <c r="K930" s="2" t="s">
        <v>38</v>
      </c>
      <c r="L930" s="2">
        <v>48</v>
      </c>
      <c r="M930" t="str" cm="1">
        <f t="array" ref="M930">_xlfn.IFS(L930&lt;=35,"YOUNG_ADULTS",L930&lt;=55,"MIDDLE_AGED",L930&gt;55,"OLD-AGED")</f>
        <v>MIDDLE_AGED</v>
      </c>
      <c r="O930" t="str" cm="1">
        <f t="array" ref="O930">_xlfn.IFS(D930&lt;=50000,"low income",D930&lt;=100000,"Mid income",D930&gt;100000,"High income")</f>
        <v>Mid income</v>
      </c>
      <c r="P930" t="str" cm="1">
        <f t="array" ref="P930">_xlfn.IFS(E930&lt;=2,"&lt;=2",E930&gt;2,"&gt;2")</f>
        <v>&lt;=2</v>
      </c>
    </row>
    <row r="931" spans="1:16">
      <c r="A931" s="2">
        <v>23459</v>
      </c>
      <c r="B931" s="2" t="s">
        <v>16</v>
      </c>
      <c r="C931" s="2" t="s">
        <v>16</v>
      </c>
      <c r="D931" s="6">
        <v>60000</v>
      </c>
      <c r="E931" s="2">
        <v>2</v>
      </c>
      <c r="F931" s="2" t="s">
        <v>33</v>
      </c>
      <c r="G931" s="2" t="s">
        <v>25</v>
      </c>
      <c r="H931" s="2" t="s">
        <v>20</v>
      </c>
      <c r="I931" s="2">
        <v>2</v>
      </c>
      <c r="J931" s="4" t="s">
        <v>29</v>
      </c>
      <c r="K931" s="2" t="s">
        <v>38</v>
      </c>
      <c r="L931" s="2">
        <v>50</v>
      </c>
      <c r="M931" t="str" cm="1">
        <f t="array" ref="M931">_xlfn.IFS(L931&lt;=35,"YOUNG_ADULTS",L931&lt;=55,"MIDDLE_AGED",L931&gt;55,"OLD-AGED")</f>
        <v>MIDDLE_AGED</v>
      </c>
      <c r="O931" t="str" cm="1">
        <f t="array" ref="O931">_xlfn.IFS(D931&lt;=50000,"low income",D931&lt;=100000,"Mid income",D931&gt;100000,"High income")</f>
        <v>Mid income</v>
      </c>
      <c r="P931" t="str" cm="1">
        <f t="array" ref="P931">_xlfn.IFS(E931&lt;=2,"&lt;=2",E931&gt;2,"&gt;2")</f>
        <v>&lt;=2</v>
      </c>
    </row>
    <row r="932" spans="1:16">
      <c r="A932" s="2">
        <v>19543</v>
      </c>
      <c r="B932" s="2" t="s">
        <v>16</v>
      </c>
      <c r="C932" s="2" t="s">
        <v>16</v>
      </c>
      <c r="D932" s="6">
        <v>70000</v>
      </c>
      <c r="E932" s="2">
        <v>5</v>
      </c>
      <c r="F932" s="2" t="s">
        <v>37</v>
      </c>
      <c r="G932" s="2" t="s">
        <v>25</v>
      </c>
      <c r="H932" s="2" t="s">
        <v>26</v>
      </c>
      <c r="I932" s="2">
        <v>3</v>
      </c>
      <c r="J932" s="4" t="s">
        <v>36</v>
      </c>
      <c r="K932" s="2" t="s">
        <v>38</v>
      </c>
      <c r="L932" s="2">
        <v>47</v>
      </c>
      <c r="M932" t="str" cm="1">
        <f t="array" ref="M932">_xlfn.IFS(L932&lt;=35,"YOUNG_ADULTS",L932&lt;=55,"MIDDLE_AGED",L932&gt;55,"OLD-AGED")</f>
        <v>MIDDLE_AGED</v>
      </c>
      <c r="O932" t="str" cm="1">
        <f t="array" ref="O932">_xlfn.IFS(D932&lt;=50000,"low income",D932&lt;=100000,"Mid income",D932&gt;100000,"High income")</f>
        <v>Mid income</v>
      </c>
      <c r="P932" t="str" cm="1">
        <f t="array" ref="P932">_xlfn.IFS(E932&lt;=2,"&lt;=2",E932&gt;2,"&gt;2")</f>
        <v>&gt;2</v>
      </c>
    </row>
    <row r="933" spans="1:16">
      <c r="A933" s="2">
        <v>14914</v>
      </c>
      <c r="B933" s="2" t="s">
        <v>16</v>
      </c>
      <c r="C933" s="2" t="s">
        <v>17</v>
      </c>
      <c r="D933" s="6">
        <v>40000</v>
      </c>
      <c r="E933" s="2">
        <v>1</v>
      </c>
      <c r="F933" s="2" t="s">
        <v>23</v>
      </c>
      <c r="G933" s="2" t="s">
        <v>24</v>
      </c>
      <c r="H933" s="2" t="s">
        <v>20</v>
      </c>
      <c r="I933" s="2">
        <v>1</v>
      </c>
      <c r="J933" s="4" t="s">
        <v>32</v>
      </c>
      <c r="K933" s="2" t="s">
        <v>38</v>
      </c>
      <c r="L933" s="2">
        <v>49</v>
      </c>
      <c r="M933" t="str" cm="1">
        <f t="array" ref="M933">_xlfn.IFS(L933&lt;=35,"YOUNG_ADULTS",L933&lt;=55,"MIDDLE_AGED",L933&gt;55,"OLD-AGED")</f>
        <v>MIDDLE_AGED</v>
      </c>
      <c r="N933" s="2" t="s">
        <v>20</v>
      </c>
      <c r="O933" t="str" cm="1">
        <f t="array" ref="O933">_xlfn.IFS(D933&lt;=50000,"low income",D933&lt;=100000,"Mid income",D933&gt;100000,"High income")</f>
        <v>low income</v>
      </c>
      <c r="P933" t="str" cm="1">
        <f t="array" ref="P933">_xlfn.IFS(E933&lt;=2,"&lt;=2",E933&gt;2,"&gt;2")</f>
        <v>&lt;=2</v>
      </c>
    </row>
    <row r="934" spans="1:16">
      <c r="A934" s="2">
        <v>12033</v>
      </c>
      <c r="B934" s="2" t="s">
        <v>28</v>
      </c>
      <c r="C934" s="2" t="s">
        <v>17</v>
      </c>
      <c r="D934" s="6">
        <v>40000</v>
      </c>
      <c r="E934" s="2">
        <v>0</v>
      </c>
      <c r="F934" s="2" t="s">
        <v>33</v>
      </c>
      <c r="G934" s="2" t="s">
        <v>19</v>
      </c>
      <c r="H934" s="2" t="s">
        <v>26</v>
      </c>
      <c r="I934" s="2">
        <v>2</v>
      </c>
      <c r="J934" s="4" t="s">
        <v>21</v>
      </c>
      <c r="K934" s="2" t="s">
        <v>38</v>
      </c>
      <c r="L934" s="2">
        <v>27</v>
      </c>
      <c r="M934" t="str" cm="1">
        <f t="array" ref="M934">_xlfn.IFS(L934&lt;=35,"YOUNG_ADULTS",L934&lt;=55,"MIDDLE_AGED",L934&gt;55,"OLD-AGED")</f>
        <v>YOUNG_ADULTS</v>
      </c>
      <c r="N934" s="2" t="s">
        <v>20</v>
      </c>
      <c r="O934" t="str" cm="1">
        <f t="array" ref="O934">_xlfn.IFS(D934&lt;=50000,"low income",D934&lt;=100000,"Mid income",D934&gt;100000,"High income")</f>
        <v>low income</v>
      </c>
      <c r="P934" t="str" cm="1">
        <f t="array" ref="P934">_xlfn.IFS(E934&lt;=2,"&lt;=2",E934&gt;2,"&gt;2")</f>
        <v>&lt;=2</v>
      </c>
    </row>
    <row r="935" spans="1:16">
      <c r="A935" s="2">
        <v>11941</v>
      </c>
      <c r="B935" s="2" t="s">
        <v>28</v>
      </c>
      <c r="C935" s="2" t="s">
        <v>16</v>
      </c>
      <c r="D935" s="6">
        <v>60000</v>
      </c>
      <c r="E935" s="2">
        <v>0</v>
      </c>
      <c r="F935" s="2" t="s">
        <v>23</v>
      </c>
      <c r="G935" s="2" t="s">
        <v>19</v>
      </c>
      <c r="H935" s="2" t="s">
        <v>20</v>
      </c>
      <c r="I935" s="2">
        <v>0</v>
      </c>
      <c r="J935" s="4" t="s">
        <v>29</v>
      </c>
      <c r="K935" s="2" t="s">
        <v>38</v>
      </c>
      <c r="L935" s="2">
        <v>29</v>
      </c>
      <c r="M935" t="str" cm="1">
        <f t="array" ref="M935">_xlfn.IFS(L935&lt;=35,"YOUNG_ADULTS",L935&lt;=55,"MIDDLE_AGED",L935&gt;55,"OLD-AGED")</f>
        <v>YOUNG_ADULTS</v>
      </c>
      <c r="O935" t="str" cm="1">
        <f t="array" ref="O935">_xlfn.IFS(D935&lt;=50000,"low income",D935&lt;=100000,"Mid income",D935&gt;100000,"High income")</f>
        <v>Mid income</v>
      </c>
      <c r="P935" t="str" cm="1">
        <f t="array" ref="P935">_xlfn.IFS(E935&lt;=2,"&lt;=2",E935&gt;2,"&gt;2")</f>
        <v>&lt;=2</v>
      </c>
    </row>
    <row r="936" spans="1:16">
      <c r="A936" s="2">
        <v>14389</v>
      </c>
      <c r="B936" s="2" t="s">
        <v>16</v>
      </c>
      <c r="C936" s="2" t="s">
        <v>16</v>
      </c>
      <c r="D936" s="6">
        <v>60000</v>
      </c>
      <c r="E936" s="2">
        <v>2</v>
      </c>
      <c r="F936" s="2" t="s">
        <v>18</v>
      </c>
      <c r="G936" s="2" t="s">
        <v>34</v>
      </c>
      <c r="H936" s="2" t="s">
        <v>20</v>
      </c>
      <c r="I936" s="2">
        <v>0</v>
      </c>
      <c r="J936" s="4" t="s">
        <v>27</v>
      </c>
      <c r="K936" s="2" t="s">
        <v>38</v>
      </c>
      <c r="L936" s="2">
        <v>59</v>
      </c>
      <c r="M936" t="str" cm="1">
        <f t="array" ref="M936">_xlfn.IFS(L936&lt;=35,"YOUNG_ADULTS",L936&lt;=55,"MIDDLE_AGED",L936&gt;55,"OLD-AGED")</f>
        <v>OLD-AGED</v>
      </c>
      <c r="O936" t="str" cm="1">
        <f t="array" ref="O936">_xlfn.IFS(D936&lt;=50000,"low income",D936&lt;=100000,"Mid income",D936&gt;100000,"High income")</f>
        <v>Mid income</v>
      </c>
      <c r="P936" t="str" cm="1">
        <f t="array" ref="P936">_xlfn.IFS(E936&lt;=2,"&lt;=2",E936&gt;2,"&gt;2")</f>
        <v>&lt;=2</v>
      </c>
    </row>
    <row r="937" spans="1:16">
      <c r="A937" s="2">
        <v>18050</v>
      </c>
      <c r="B937" s="2" t="s">
        <v>16</v>
      </c>
      <c r="C937" s="2" t="s">
        <v>17</v>
      </c>
      <c r="D937" s="6">
        <v>60000</v>
      </c>
      <c r="E937" s="2">
        <v>1</v>
      </c>
      <c r="F937" s="2" t="s">
        <v>23</v>
      </c>
      <c r="G937" s="2" t="s">
        <v>19</v>
      </c>
      <c r="H937" s="2" t="s">
        <v>20</v>
      </c>
      <c r="I937" s="2">
        <v>1</v>
      </c>
      <c r="J937" s="4" t="s">
        <v>21</v>
      </c>
      <c r="K937" s="2" t="s">
        <v>38</v>
      </c>
      <c r="L937" s="2">
        <v>45</v>
      </c>
      <c r="M937" t="str" cm="1">
        <f t="array" ref="M937">_xlfn.IFS(L937&lt;=35,"YOUNG_ADULTS",L937&lt;=55,"MIDDLE_AGED",L937&gt;55,"OLD-AGED")</f>
        <v>MIDDLE_AGED</v>
      </c>
      <c r="N937" s="2" t="s">
        <v>20</v>
      </c>
      <c r="O937" t="str" cm="1">
        <f t="array" ref="O937">_xlfn.IFS(D937&lt;=50000,"low income",D937&lt;=100000,"Mid income",D937&gt;100000,"High income")</f>
        <v>Mid income</v>
      </c>
      <c r="P937" t="str" cm="1">
        <f t="array" ref="P937">_xlfn.IFS(E937&lt;=2,"&lt;=2",E937&gt;2,"&gt;2")</f>
        <v>&lt;=2</v>
      </c>
    </row>
    <row r="938" spans="1:16">
      <c r="A938" s="2">
        <v>19856</v>
      </c>
      <c r="B938" s="2" t="s">
        <v>16</v>
      </c>
      <c r="C938" s="2" t="s">
        <v>17</v>
      </c>
      <c r="D938" s="6">
        <v>60000</v>
      </c>
      <c r="E938" s="2">
        <v>4</v>
      </c>
      <c r="F938" s="2" t="s">
        <v>18</v>
      </c>
      <c r="G938" s="2" t="s">
        <v>34</v>
      </c>
      <c r="H938" s="2" t="s">
        <v>20</v>
      </c>
      <c r="I938" s="2">
        <v>2</v>
      </c>
      <c r="J938" s="4" t="s">
        <v>27</v>
      </c>
      <c r="K938" s="2" t="s">
        <v>38</v>
      </c>
      <c r="L938" s="2">
        <v>60</v>
      </c>
      <c r="M938" t="str" cm="1">
        <f t="array" ref="M938">_xlfn.IFS(L938&lt;=35,"YOUNG_ADULTS",L938&lt;=55,"MIDDLE_AGED",L938&gt;55,"OLD-AGED")</f>
        <v>OLD-AGED</v>
      </c>
      <c r="O938" t="str" cm="1">
        <f t="array" ref="O938">_xlfn.IFS(D938&lt;=50000,"low income",D938&lt;=100000,"Mid income",D938&gt;100000,"High income")</f>
        <v>Mid income</v>
      </c>
      <c r="P938" t="str" cm="1">
        <f t="array" ref="P938">_xlfn.IFS(E938&lt;=2,"&lt;=2",E938&gt;2,"&gt;2")</f>
        <v>&gt;2</v>
      </c>
    </row>
    <row r="939" spans="1:16">
      <c r="A939" s="2">
        <v>11663</v>
      </c>
      <c r="B939" s="2" t="s">
        <v>16</v>
      </c>
      <c r="C939" s="2" t="s">
        <v>16</v>
      </c>
      <c r="D939" s="6">
        <v>70000</v>
      </c>
      <c r="E939" s="2">
        <v>4</v>
      </c>
      <c r="F939" s="2" t="s">
        <v>37</v>
      </c>
      <c r="G939" s="2" t="s">
        <v>25</v>
      </c>
      <c r="H939" s="2" t="s">
        <v>20</v>
      </c>
      <c r="I939" s="2">
        <v>0</v>
      </c>
      <c r="J939" s="4" t="s">
        <v>21</v>
      </c>
      <c r="K939" s="2" t="s">
        <v>38</v>
      </c>
      <c r="L939" s="2">
        <v>36</v>
      </c>
      <c r="M939" t="str" cm="1">
        <f t="array" ref="M939">_xlfn.IFS(L939&lt;=35,"YOUNG_ADULTS",L939&lt;=55,"MIDDLE_AGED",L939&gt;55,"OLD-AGED")</f>
        <v>MIDDLE_AGED</v>
      </c>
      <c r="N939" s="2" t="s">
        <v>20</v>
      </c>
      <c r="O939" t="str" cm="1">
        <f t="array" ref="O939">_xlfn.IFS(D939&lt;=50000,"low income",D939&lt;=100000,"Mid income",D939&gt;100000,"High income")</f>
        <v>Mid income</v>
      </c>
      <c r="P939" t="str" cm="1">
        <f t="array" ref="P939">_xlfn.IFS(E939&lt;=2,"&lt;=2",E939&gt;2,"&gt;2")</f>
        <v>&gt;2</v>
      </c>
    </row>
    <row r="940" spans="1:16">
      <c r="A940" s="2">
        <v>27740</v>
      </c>
      <c r="B940" s="2" t="s">
        <v>16</v>
      </c>
      <c r="C940" s="2" t="s">
        <v>17</v>
      </c>
      <c r="D940" s="6">
        <v>40000</v>
      </c>
      <c r="E940" s="2">
        <v>0</v>
      </c>
      <c r="F940" s="2" t="s">
        <v>33</v>
      </c>
      <c r="G940" s="2" t="s">
        <v>19</v>
      </c>
      <c r="H940" s="2" t="s">
        <v>20</v>
      </c>
      <c r="I940" s="2">
        <v>2</v>
      </c>
      <c r="J940" s="4" t="s">
        <v>29</v>
      </c>
      <c r="K940" s="2" t="s">
        <v>38</v>
      </c>
      <c r="L940" s="2">
        <v>27</v>
      </c>
      <c r="M940" t="str" cm="1">
        <f t="array" ref="M940">_xlfn.IFS(L940&lt;=35,"YOUNG_ADULTS",L940&lt;=55,"MIDDLE_AGED",L940&gt;55,"OLD-AGED")</f>
        <v>YOUNG_ADULTS</v>
      </c>
      <c r="O940" t="str" cm="1">
        <f t="array" ref="O940">_xlfn.IFS(D940&lt;=50000,"low income",D940&lt;=100000,"Mid income",D940&gt;100000,"High income")</f>
        <v>low income</v>
      </c>
      <c r="P940" t="str" cm="1">
        <f t="array" ref="P940">_xlfn.IFS(E940&lt;=2,"&lt;=2",E940&gt;2,"&gt;2")</f>
        <v>&lt;=2</v>
      </c>
    </row>
    <row r="941" spans="1:16">
      <c r="A941" s="2">
        <v>23455</v>
      </c>
      <c r="B941" s="2" t="s">
        <v>28</v>
      </c>
      <c r="C941" s="2" t="s">
        <v>16</v>
      </c>
      <c r="D941" s="6">
        <v>80000</v>
      </c>
      <c r="E941" s="2">
        <v>2</v>
      </c>
      <c r="F941" s="2" t="s">
        <v>35</v>
      </c>
      <c r="G941" s="2" t="s">
        <v>19</v>
      </c>
      <c r="H941" s="2" t="s">
        <v>26</v>
      </c>
      <c r="I941" s="2">
        <v>2</v>
      </c>
      <c r="J941" s="4" t="s">
        <v>32</v>
      </c>
      <c r="K941" s="2" t="s">
        <v>38</v>
      </c>
      <c r="L941" s="2">
        <v>50</v>
      </c>
      <c r="M941" t="str" cm="1">
        <f t="array" ref="M941">_xlfn.IFS(L941&lt;=35,"YOUNG_ADULTS",L941&lt;=55,"MIDDLE_AGED",L941&gt;55,"OLD-AGED")</f>
        <v>MIDDLE_AGED</v>
      </c>
      <c r="O941" t="str" cm="1">
        <f t="array" ref="O941">_xlfn.IFS(D941&lt;=50000,"low income",D941&lt;=100000,"Mid income",D941&gt;100000,"High income")</f>
        <v>Mid income</v>
      </c>
      <c r="P941" t="str" cm="1">
        <f t="array" ref="P941">_xlfn.IFS(E941&lt;=2,"&lt;=2",E941&gt;2,"&gt;2")</f>
        <v>&lt;=2</v>
      </c>
    </row>
    <row r="942" spans="1:16">
      <c r="A942" s="2">
        <v>15292</v>
      </c>
      <c r="B942" s="2" t="s">
        <v>28</v>
      </c>
      <c r="C942" s="2" t="s">
        <v>17</v>
      </c>
      <c r="D942" s="6">
        <v>60000</v>
      </c>
      <c r="E942" s="2">
        <v>1</v>
      </c>
      <c r="F942" s="2" t="s">
        <v>37</v>
      </c>
      <c r="G942" s="2" t="s">
        <v>19</v>
      </c>
      <c r="H942" s="2" t="s">
        <v>20</v>
      </c>
      <c r="I942" s="2">
        <v>0</v>
      </c>
      <c r="J942" s="4" t="s">
        <v>32</v>
      </c>
      <c r="K942" s="2" t="s">
        <v>38</v>
      </c>
      <c r="L942" s="2">
        <v>35</v>
      </c>
      <c r="M942" t="str" cm="1">
        <f t="array" ref="M942">_xlfn.IFS(L942&lt;=35,"YOUNG_ADULTS",L942&lt;=55,"MIDDLE_AGED",L942&gt;55,"OLD-AGED")</f>
        <v>YOUNG_ADULTS</v>
      </c>
      <c r="O942" t="str" cm="1">
        <f t="array" ref="O942">_xlfn.IFS(D942&lt;=50000,"low income",D942&lt;=100000,"Mid income",D942&gt;100000,"High income")</f>
        <v>Mid income</v>
      </c>
      <c r="P942" t="str" cm="1">
        <f t="array" ref="P942">_xlfn.IFS(E942&lt;=2,"&lt;=2",E942&gt;2,"&gt;2")</f>
        <v>&lt;=2</v>
      </c>
    </row>
    <row r="943" spans="1:16">
      <c r="A943" s="2">
        <v>21587</v>
      </c>
      <c r="B943" s="2" t="s">
        <v>16</v>
      </c>
      <c r="C943" s="2" t="s">
        <v>17</v>
      </c>
      <c r="D943" s="6">
        <v>60000</v>
      </c>
      <c r="E943" s="2">
        <v>1</v>
      </c>
      <c r="F943" s="2" t="s">
        <v>37</v>
      </c>
      <c r="G943" s="2" t="s">
        <v>19</v>
      </c>
      <c r="H943" s="2" t="s">
        <v>20</v>
      </c>
      <c r="I943" s="2">
        <v>0</v>
      </c>
      <c r="J943" s="4" t="s">
        <v>27</v>
      </c>
      <c r="K943" s="2" t="s">
        <v>38</v>
      </c>
      <c r="L943" s="2">
        <v>34</v>
      </c>
      <c r="M943" t="str" cm="1">
        <f t="array" ref="M943">_xlfn.IFS(L943&lt;=35,"YOUNG_ADULTS",L943&lt;=55,"MIDDLE_AGED",L943&gt;55,"OLD-AGED")</f>
        <v>YOUNG_ADULTS</v>
      </c>
      <c r="N943" s="2" t="s">
        <v>20</v>
      </c>
      <c r="O943" t="str" cm="1">
        <f t="array" ref="O943">_xlfn.IFS(D943&lt;=50000,"low income",D943&lt;=100000,"Mid income",D943&gt;100000,"High income")</f>
        <v>Mid income</v>
      </c>
      <c r="P943" t="str" cm="1">
        <f t="array" ref="P943">_xlfn.IFS(E943&lt;=2,"&lt;=2",E943&gt;2,"&gt;2")</f>
        <v>&lt;=2</v>
      </c>
    </row>
    <row r="944" spans="1:16">
      <c r="A944" s="2">
        <v>23513</v>
      </c>
      <c r="B944" s="2" t="s">
        <v>16</v>
      </c>
      <c r="C944" s="2" t="s">
        <v>17</v>
      </c>
      <c r="D944" s="6">
        <v>40000</v>
      </c>
      <c r="E944" s="2">
        <v>3</v>
      </c>
      <c r="F944" s="2" t="s">
        <v>23</v>
      </c>
      <c r="G944" s="2" t="s">
        <v>25</v>
      </c>
      <c r="H944" s="2" t="s">
        <v>20</v>
      </c>
      <c r="I944" s="2">
        <v>2</v>
      </c>
      <c r="J944" s="4" t="s">
        <v>29</v>
      </c>
      <c r="K944" s="2" t="s">
        <v>38</v>
      </c>
      <c r="L944" s="2">
        <v>54</v>
      </c>
      <c r="M944" t="str" cm="1">
        <f t="array" ref="M944">_xlfn.IFS(L944&lt;=35,"YOUNG_ADULTS",L944&lt;=55,"MIDDLE_AGED",L944&gt;55,"OLD-AGED")</f>
        <v>MIDDLE_AGED</v>
      </c>
      <c r="O944" t="str" cm="1">
        <f t="array" ref="O944">_xlfn.IFS(D944&lt;=50000,"low income",D944&lt;=100000,"Mid income",D944&gt;100000,"High income")</f>
        <v>low income</v>
      </c>
      <c r="P944" t="str" cm="1">
        <f t="array" ref="P944">_xlfn.IFS(E944&lt;=2,"&lt;=2",E944&gt;2,"&gt;2")</f>
        <v>&gt;2</v>
      </c>
    </row>
    <row r="945" spans="1:16">
      <c r="A945" s="2">
        <v>24322</v>
      </c>
      <c r="B945" s="2" t="s">
        <v>16</v>
      </c>
      <c r="C945" s="2" t="s">
        <v>17</v>
      </c>
      <c r="D945" s="6">
        <v>60000</v>
      </c>
      <c r="E945" s="2">
        <v>4</v>
      </c>
      <c r="F945" s="2" t="s">
        <v>18</v>
      </c>
      <c r="G945" s="2" t="s">
        <v>19</v>
      </c>
      <c r="H945" s="2" t="s">
        <v>26</v>
      </c>
      <c r="I945" s="2">
        <v>2</v>
      </c>
      <c r="J945" s="4" t="s">
        <v>21</v>
      </c>
      <c r="K945" s="2" t="s">
        <v>38</v>
      </c>
      <c r="L945" s="2">
        <v>42</v>
      </c>
      <c r="M945" t="str" cm="1">
        <f t="array" ref="M945">_xlfn.IFS(L945&lt;=35,"YOUNG_ADULTS",L945&lt;=55,"MIDDLE_AGED",L945&gt;55,"OLD-AGED")</f>
        <v>MIDDLE_AGED</v>
      </c>
      <c r="O945" t="str" cm="1">
        <f t="array" ref="O945">_xlfn.IFS(D945&lt;=50000,"low income",D945&lt;=100000,"Mid income",D945&gt;100000,"High income")</f>
        <v>Mid income</v>
      </c>
      <c r="P945" t="str" cm="1">
        <f t="array" ref="P945">_xlfn.IFS(E945&lt;=2,"&lt;=2",E945&gt;2,"&gt;2")</f>
        <v>&gt;2</v>
      </c>
    </row>
    <row r="946" spans="1:16">
      <c r="A946" s="2">
        <v>26298</v>
      </c>
      <c r="B946" s="2" t="s">
        <v>16</v>
      </c>
      <c r="C946" s="2" t="s">
        <v>17</v>
      </c>
      <c r="D946" s="6">
        <v>50000</v>
      </c>
      <c r="E946" s="2">
        <v>1</v>
      </c>
      <c r="F946" s="2" t="s">
        <v>18</v>
      </c>
      <c r="G946" s="2" t="s">
        <v>19</v>
      </c>
      <c r="H946" s="2" t="s">
        <v>20</v>
      </c>
      <c r="I946" s="2">
        <v>0</v>
      </c>
      <c r="J946" s="4" t="s">
        <v>27</v>
      </c>
      <c r="K946" s="2" t="s">
        <v>38</v>
      </c>
      <c r="L946" s="2">
        <v>34</v>
      </c>
      <c r="M946" t="str" cm="1">
        <f t="array" ref="M946">_xlfn.IFS(L946&lt;=35,"YOUNG_ADULTS",L946&lt;=55,"MIDDLE_AGED",L946&gt;55,"OLD-AGED")</f>
        <v>YOUNG_ADULTS</v>
      </c>
      <c r="N946" s="2" t="s">
        <v>20</v>
      </c>
      <c r="O946" t="str" cm="1">
        <f t="array" ref="O946">_xlfn.IFS(D946&lt;=50000,"low income",D946&lt;=100000,"Mid income",D946&gt;100000,"High income")</f>
        <v>low income</v>
      </c>
      <c r="P946" t="str" cm="1">
        <f t="array" ref="P946">_xlfn.IFS(E946&lt;=2,"&lt;=2",E946&gt;2,"&gt;2")</f>
        <v>&lt;=2</v>
      </c>
    </row>
    <row r="947" spans="1:16">
      <c r="A947" s="2">
        <v>25419</v>
      </c>
      <c r="B947" s="2" t="s">
        <v>28</v>
      </c>
      <c r="C947" s="2" t="s">
        <v>16</v>
      </c>
      <c r="D947" s="6">
        <v>50000</v>
      </c>
      <c r="E947" s="2">
        <v>2</v>
      </c>
      <c r="F947" s="2" t="s">
        <v>18</v>
      </c>
      <c r="G947" s="2" t="s">
        <v>19</v>
      </c>
      <c r="H947" s="2" t="s">
        <v>26</v>
      </c>
      <c r="I947" s="2">
        <v>1</v>
      </c>
      <c r="J947" s="4" t="s">
        <v>21</v>
      </c>
      <c r="K947" s="2" t="s">
        <v>38</v>
      </c>
      <c r="L947" s="2">
        <v>38</v>
      </c>
      <c r="M947" t="str" cm="1">
        <f t="array" ref="M947">_xlfn.IFS(L947&lt;=35,"YOUNG_ADULTS",L947&lt;=55,"MIDDLE_AGED",L947&gt;55,"OLD-AGED")</f>
        <v>MIDDLE_AGED</v>
      </c>
      <c r="N947" s="2" t="s">
        <v>20</v>
      </c>
      <c r="O947" t="str" cm="1">
        <f t="array" ref="O947">_xlfn.IFS(D947&lt;=50000,"low income",D947&lt;=100000,"Mid income",D947&gt;100000,"High income")</f>
        <v>low income</v>
      </c>
      <c r="P947" t="str" cm="1">
        <f t="array" ref="P947">_xlfn.IFS(E947&lt;=2,"&lt;=2",E947&gt;2,"&gt;2")</f>
        <v>&lt;=2</v>
      </c>
    </row>
    <row r="948" spans="1:16">
      <c r="A948" s="2">
        <v>13343</v>
      </c>
      <c r="B948" s="2" t="s">
        <v>16</v>
      </c>
      <c r="C948" s="2" t="s">
        <v>17</v>
      </c>
      <c r="D948" s="6">
        <v>90000</v>
      </c>
      <c r="E948" s="2">
        <v>5</v>
      </c>
      <c r="F948" s="2" t="s">
        <v>18</v>
      </c>
      <c r="G948" s="2" t="s">
        <v>34</v>
      </c>
      <c r="H948" s="2" t="s">
        <v>20</v>
      </c>
      <c r="I948" s="2">
        <v>2</v>
      </c>
      <c r="J948" s="4" t="s">
        <v>32</v>
      </c>
      <c r="K948" s="2" t="s">
        <v>38</v>
      </c>
      <c r="L948" s="2">
        <v>63</v>
      </c>
      <c r="M948" t="str" cm="1">
        <f t="array" ref="M948">_xlfn.IFS(L948&lt;=35,"YOUNG_ADULTS",L948&lt;=55,"MIDDLE_AGED",L948&gt;55,"OLD-AGED")</f>
        <v>OLD-AGED</v>
      </c>
      <c r="N948" s="2" t="s">
        <v>20</v>
      </c>
      <c r="O948" t="str" cm="1">
        <f t="array" ref="O948">_xlfn.IFS(D948&lt;=50000,"low income",D948&lt;=100000,"Mid income",D948&gt;100000,"High income")</f>
        <v>Mid income</v>
      </c>
      <c r="P948" t="str" cm="1">
        <f t="array" ref="P948">_xlfn.IFS(E948&lt;=2,"&lt;=2",E948&gt;2,"&gt;2")</f>
        <v>&gt;2</v>
      </c>
    </row>
    <row r="949" spans="1:16">
      <c r="A949" s="2">
        <v>11303</v>
      </c>
      <c r="B949" s="2" t="s">
        <v>28</v>
      </c>
      <c r="C949" s="2" t="s">
        <v>17</v>
      </c>
      <c r="D949" s="6">
        <v>90000</v>
      </c>
      <c r="E949" s="2">
        <v>4</v>
      </c>
      <c r="F949" s="2" t="s">
        <v>33</v>
      </c>
      <c r="G949" s="2" t="s">
        <v>25</v>
      </c>
      <c r="H949" s="2" t="s">
        <v>26</v>
      </c>
      <c r="I949" s="2">
        <v>3</v>
      </c>
      <c r="J949" s="4" t="s">
        <v>32</v>
      </c>
      <c r="K949" s="2" t="s">
        <v>38</v>
      </c>
      <c r="L949" s="2">
        <v>45</v>
      </c>
      <c r="M949" t="str" cm="1">
        <f t="array" ref="M949">_xlfn.IFS(L949&lt;=35,"YOUNG_ADULTS",L949&lt;=55,"MIDDLE_AGED",L949&gt;55,"OLD-AGED")</f>
        <v>MIDDLE_AGED</v>
      </c>
      <c r="N949" s="2" t="s">
        <v>20</v>
      </c>
      <c r="O949" t="str" cm="1">
        <f t="array" ref="O949">_xlfn.IFS(D949&lt;=50000,"low income",D949&lt;=100000,"Mid income",D949&gt;100000,"High income")</f>
        <v>Mid income</v>
      </c>
      <c r="P949" t="str" cm="1">
        <f t="array" ref="P949">_xlfn.IFS(E949&lt;=2,"&lt;=2",E949&gt;2,"&gt;2")</f>
        <v>&gt;2</v>
      </c>
    </row>
    <row r="950" spans="1:16">
      <c r="A950" s="2">
        <v>21693</v>
      </c>
      <c r="B950" s="2" t="s">
        <v>28</v>
      </c>
      <c r="C950" s="2" t="s">
        <v>17</v>
      </c>
      <c r="D950" s="6">
        <v>60000</v>
      </c>
      <c r="E950" s="2">
        <v>0</v>
      </c>
      <c r="F950" s="2" t="s">
        <v>37</v>
      </c>
      <c r="G950" s="2" t="s">
        <v>19</v>
      </c>
      <c r="H950" s="2" t="s">
        <v>26</v>
      </c>
      <c r="I950" s="2">
        <v>0</v>
      </c>
      <c r="J950" s="4" t="s">
        <v>21</v>
      </c>
      <c r="K950" s="2" t="s">
        <v>38</v>
      </c>
      <c r="L950" s="2">
        <v>40</v>
      </c>
      <c r="M950" t="str" cm="1">
        <f t="array" ref="M950">_xlfn.IFS(L950&lt;=35,"YOUNG_ADULTS",L950&lt;=55,"MIDDLE_AGED",L950&gt;55,"OLD-AGED")</f>
        <v>MIDDLE_AGED</v>
      </c>
      <c r="O950" t="str" cm="1">
        <f t="array" ref="O950">_xlfn.IFS(D950&lt;=50000,"low income",D950&lt;=100000,"Mid income",D950&gt;100000,"High income")</f>
        <v>Mid income</v>
      </c>
      <c r="P950" t="str" cm="1">
        <f t="array" ref="P950">_xlfn.IFS(E950&lt;=2,"&lt;=2",E950&gt;2,"&gt;2")</f>
        <v>&lt;=2</v>
      </c>
    </row>
    <row r="951" spans="1:16">
      <c r="A951" s="2">
        <v>28056</v>
      </c>
      <c r="B951" s="2" t="s">
        <v>16</v>
      </c>
      <c r="C951" s="2" t="s">
        <v>16</v>
      </c>
      <c r="D951" s="6">
        <v>70000</v>
      </c>
      <c r="E951" s="2">
        <v>2</v>
      </c>
      <c r="F951" s="2" t="s">
        <v>35</v>
      </c>
      <c r="G951" s="2" t="s">
        <v>19</v>
      </c>
      <c r="H951" s="2" t="s">
        <v>20</v>
      </c>
      <c r="I951" s="2">
        <v>2</v>
      </c>
      <c r="J951" s="4" t="s">
        <v>36</v>
      </c>
      <c r="K951" s="2" t="s">
        <v>38</v>
      </c>
      <c r="L951" s="2">
        <v>53</v>
      </c>
      <c r="M951" t="str" cm="1">
        <f t="array" ref="M951">_xlfn.IFS(L951&lt;=35,"YOUNG_ADULTS",L951&lt;=55,"MIDDLE_AGED",L951&gt;55,"OLD-AGED")</f>
        <v>MIDDLE_AGED</v>
      </c>
      <c r="O951" t="str" cm="1">
        <f t="array" ref="O951">_xlfn.IFS(D951&lt;=50000,"low income",D951&lt;=100000,"Mid income",D951&gt;100000,"High income")</f>
        <v>Mid income</v>
      </c>
      <c r="P951" t="str" cm="1">
        <f t="array" ref="P951">_xlfn.IFS(E951&lt;=2,"&lt;=2",E951&gt;2,"&gt;2")</f>
        <v>&lt;=2</v>
      </c>
    </row>
    <row r="952" spans="1:16">
      <c r="A952" s="2">
        <v>11788</v>
      </c>
      <c r="B952" s="2" t="s">
        <v>28</v>
      </c>
      <c r="C952" s="2" t="s">
        <v>17</v>
      </c>
      <c r="D952" s="6">
        <v>70000</v>
      </c>
      <c r="E952" s="2">
        <v>1</v>
      </c>
      <c r="F952" s="2" t="s">
        <v>37</v>
      </c>
      <c r="G952" s="2" t="s">
        <v>25</v>
      </c>
      <c r="H952" s="2" t="s">
        <v>20</v>
      </c>
      <c r="I952" s="2">
        <v>0</v>
      </c>
      <c r="J952" s="4" t="s">
        <v>27</v>
      </c>
      <c r="K952" s="2" t="s">
        <v>38</v>
      </c>
      <c r="L952" s="2">
        <v>34</v>
      </c>
      <c r="M952" t="str" cm="1">
        <f t="array" ref="M952">_xlfn.IFS(L952&lt;=35,"YOUNG_ADULTS",L952&lt;=55,"MIDDLE_AGED",L952&gt;55,"OLD-AGED")</f>
        <v>YOUNG_ADULTS</v>
      </c>
      <c r="O952" t="str" cm="1">
        <f t="array" ref="O952">_xlfn.IFS(D952&lt;=50000,"low income",D952&lt;=100000,"Mid income",D952&gt;100000,"High income")</f>
        <v>Mid income</v>
      </c>
      <c r="P952" t="str" cm="1">
        <f t="array" ref="P952">_xlfn.IFS(E952&lt;=2,"&lt;=2",E952&gt;2,"&gt;2")</f>
        <v>&lt;=2</v>
      </c>
    </row>
    <row r="953" spans="1:16">
      <c r="A953" s="2">
        <v>22296</v>
      </c>
      <c r="B953" s="2" t="s">
        <v>16</v>
      </c>
      <c r="C953" s="2" t="s">
        <v>16</v>
      </c>
      <c r="D953" s="6">
        <v>70000</v>
      </c>
      <c r="E953" s="2">
        <v>0</v>
      </c>
      <c r="F953" s="2" t="s">
        <v>18</v>
      </c>
      <c r="G953" s="2" t="s">
        <v>25</v>
      </c>
      <c r="H953" s="2" t="s">
        <v>26</v>
      </c>
      <c r="I953" s="2">
        <v>1</v>
      </c>
      <c r="J953" s="4" t="s">
        <v>21</v>
      </c>
      <c r="K953" s="2" t="s">
        <v>38</v>
      </c>
      <c r="L953" s="2">
        <v>38</v>
      </c>
      <c r="M953" t="str" cm="1">
        <f t="array" ref="M953">_xlfn.IFS(L953&lt;=35,"YOUNG_ADULTS",L953&lt;=55,"MIDDLE_AGED",L953&gt;55,"OLD-AGED")</f>
        <v>MIDDLE_AGED</v>
      </c>
      <c r="O953" t="str" cm="1">
        <f t="array" ref="O953">_xlfn.IFS(D953&lt;=50000,"low income",D953&lt;=100000,"Mid income",D953&gt;100000,"High income")</f>
        <v>Mid income</v>
      </c>
      <c r="P953" t="str" cm="1">
        <f t="array" ref="P953">_xlfn.IFS(E953&lt;=2,"&lt;=2",E953&gt;2,"&gt;2")</f>
        <v>&lt;=2</v>
      </c>
    </row>
    <row r="954" spans="1:16">
      <c r="A954" s="2">
        <v>15319</v>
      </c>
      <c r="B954" s="2" t="s">
        <v>16</v>
      </c>
      <c r="C954" s="2" t="s">
        <v>17</v>
      </c>
      <c r="D954" s="6">
        <v>70000</v>
      </c>
      <c r="E954" s="2">
        <v>4</v>
      </c>
      <c r="F954" s="2" t="s">
        <v>18</v>
      </c>
      <c r="G954" s="2" t="s">
        <v>34</v>
      </c>
      <c r="H954" s="2" t="s">
        <v>26</v>
      </c>
      <c r="I954" s="2">
        <v>1</v>
      </c>
      <c r="J954" s="4" t="s">
        <v>32</v>
      </c>
      <c r="K954" s="2" t="s">
        <v>38</v>
      </c>
      <c r="L954" s="2">
        <v>59</v>
      </c>
      <c r="M954" t="str" cm="1">
        <f t="array" ref="M954">_xlfn.IFS(L954&lt;=35,"YOUNG_ADULTS",L954&lt;=55,"MIDDLE_AGED",L954&gt;55,"OLD-AGED")</f>
        <v>OLD-AGED</v>
      </c>
      <c r="O954" t="str" cm="1">
        <f t="array" ref="O954">_xlfn.IFS(D954&lt;=50000,"low income",D954&lt;=100000,"Mid income",D954&gt;100000,"High income")</f>
        <v>Mid income</v>
      </c>
      <c r="P954" t="str" cm="1">
        <f t="array" ref="P954">_xlfn.IFS(E954&lt;=2,"&lt;=2",E954&gt;2,"&gt;2")</f>
        <v>&gt;2</v>
      </c>
    </row>
    <row r="955" spans="1:16">
      <c r="A955" s="2">
        <v>17654</v>
      </c>
      <c r="B955" s="2" t="s">
        <v>28</v>
      </c>
      <c r="C955" s="2" t="s">
        <v>17</v>
      </c>
      <c r="D955" s="6">
        <v>40000</v>
      </c>
      <c r="E955" s="2">
        <v>3</v>
      </c>
      <c r="F955" s="2" t="s">
        <v>23</v>
      </c>
      <c r="G955" s="2" t="s">
        <v>24</v>
      </c>
      <c r="H955" s="2" t="s">
        <v>20</v>
      </c>
      <c r="I955" s="2">
        <v>1</v>
      </c>
      <c r="J955" s="4" t="s">
        <v>32</v>
      </c>
      <c r="K955" s="2" t="s">
        <v>38</v>
      </c>
      <c r="L955" s="2">
        <v>30</v>
      </c>
      <c r="M955" t="str" cm="1">
        <f t="array" ref="M955">_xlfn.IFS(L955&lt;=35,"YOUNG_ADULTS",L955&lt;=55,"MIDDLE_AGED",L955&gt;55,"OLD-AGED")</f>
        <v>YOUNG_ADULTS</v>
      </c>
      <c r="N955" s="2" t="s">
        <v>20</v>
      </c>
      <c r="O955" t="str" cm="1">
        <f t="array" ref="O955">_xlfn.IFS(D955&lt;=50000,"low income",D955&lt;=100000,"Mid income",D955&gt;100000,"High income")</f>
        <v>low income</v>
      </c>
      <c r="P955" t="str" cm="1">
        <f t="array" ref="P955">_xlfn.IFS(E955&lt;=2,"&lt;=2",E955&gt;2,"&gt;2")</f>
        <v>&gt;2</v>
      </c>
    </row>
    <row r="956" spans="1:16">
      <c r="A956" s="2">
        <v>14662</v>
      </c>
      <c r="B956" s="2" t="s">
        <v>16</v>
      </c>
      <c r="C956" s="2" t="s">
        <v>16</v>
      </c>
      <c r="D956" s="6">
        <v>60000</v>
      </c>
      <c r="E956" s="2">
        <v>1</v>
      </c>
      <c r="F956" s="2" t="s">
        <v>18</v>
      </c>
      <c r="G956" s="2" t="s">
        <v>25</v>
      </c>
      <c r="H956" s="2" t="s">
        <v>20</v>
      </c>
      <c r="I956" s="2">
        <v>1</v>
      </c>
      <c r="J956" s="4" t="s">
        <v>21</v>
      </c>
      <c r="K956" s="2" t="s">
        <v>38</v>
      </c>
      <c r="L956" s="2">
        <v>48</v>
      </c>
      <c r="M956" t="str" cm="1">
        <f t="array" ref="M956">_xlfn.IFS(L956&lt;=35,"YOUNG_ADULTS",L956&lt;=55,"MIDDLE_AGED",L956&gt;55,"OLD-AGED")</f>
        <v>MIDDLE_AGED</v>
      </c>
      <c r="N956" s="2" t="s">
        <v>20</v>
      </c>
      <c r="O956" t="str" cm="1">
        <f t="array" ref="O956">_xlfn.IFS(D956&lt;=50000,"low income",D956&lt;=100000,"Mid income",D956&gt;100000,"High income")</f>
        <v>Mid income</v>
      </c>
      <c r="P956" t="str" cm="1">
        <f t="array" ref="P956">_xlfn.IFS(E956&lt;=2,"&lt;=2",E956&gt;2,"&gt;2")</f>
        <v>&lt;=2</v>
      </c>
    </row>
    <row r="957" spans="1:16">
      <c r="A957" s="2">
        <v>17541</v>
      </c>
      <c r="B957" s="2" t="s">
        <v>16</v>
      </c>
      <c r="C957" s="2" t="s">
        <v>17</v>
      </c>
      <c r="D957" s="6">
        <v>40000</v>
      </c>
      <c r="E957" s="2">
        <v>4</v>
      </c>
      <c r="F957" s="2" t="s">
        <v>33</v>
      </c>
      <c r="G957" s="2" t="s">
        <v>19</v>
      </c>
      <c r="H957" s="2" t="s">
        <v>20</v>
      </c>
      <c r="I957" s="2">
        <v>2</v>
      </c>
      <c r="J957" s="4" t="s">
        <v>27</v>
      </c>
      <c r="K957" s="2" t="s">
        <v>38</v>
      </c>
      <c r="L957" s="2">
        <v>43</v>
      </c>
      <c r="M957" t="str" cm="1">
        <f t="array" ref="M957">_xlfn.IFS(L957&lt;=35,"YOUNG_ADULTS",L957&lt;=55,"MIDDLE_AGED",L957&gt;55,"OLD-AGED")</f>
        <v>MIDDLE_AGED</v>
      </c>
      <c r="O957" t="str" cm="1">
        <f t="array" ref="O957">_xlfn.IFS(D957&lt;=50000,"low income",D957&lt;=100000,"Mid income",D957&gt;100000,"High income")</f>
        <v>low income</v>
      </c>
      <c r="P957" t="str" cm="1">
        <f t="array" ref="P957">_xlfn.IFS(E957&lt;=2,"&lt;=2",E957&gt;2,"&gt;2")</f>
        <v>&gt;2</v>
      </c>
    </row>
    <row r="958" spans="1:16">
      <c r="A958" s="2">
        <v>13886</v>
      </c>
      <c r="B958" s="2" t="s">
        <v>16</v>
      </c>
      <c r="C958" s="2" t="s">
        <v>17</v>
      </c>
      <c r="D958" s="6">
        <v>70000</v>
      </c>
      <c r="E958" s="2">
        <v>4</v>
      </c>
      <c r="F958" s="2" t="s">
        <v>37</v>
      </c>
      <c r="G958" s="2" t="s">
        <v>25</v>
      </c>
      <c r="H958" s="2" t="s">
        <v>20</v>
      </c>
      <c r="I958" s="2">
        <v>0</v>
      </c>
      <c r="J958" s="4" t="s">
        <v>27</v>
      </c>
      <c r="K958" s="2" t="s">
        <v>38</v>
      </c>
      <c r="L958" s="2">
        <v>35</v>
      </c>
      <c r="M958" t="str" cm="1">
        <f t="array" ref="M958">_xlfn.IFS(L958&lt;=35,"YOUNG_ADULTS",L958&lt;=55,"MIDDLE_AGED",L958&gt;55,"OLD-AGED")</f>
        <v>YOUNG_ADULTS</v>
      </c>
      <c r="N958" s="2" t="s">
        <v>20</v>
      </c>
      <c r="O958" t="str" cm="1">
        <f t="array" ref="O958">_xlfn.IFS(D958&lt;=50000,"low income",D958&lt;=100000,"Mid income",D958&gt;100000,"High income")</f>
        <v>Mid income</v>
      </c>
      <c r="P958" t="str" cm="1">
        <f t="array" ref="P958">_xlfn.IFS(E958&lt;=2,"&lt;=2",E958&gt;2,"&gt;2")</f>
        <v>&gt;2</v>
      </c>
    </row>
    <row r="959" spans="1:16">
      <c r="A959" s="2">
        <v>13073</v>
      </c>
      <c r="B959" s="2" t="s">
        <v>16</v>
      </c>
      <c r="C959" s="2" t="s">
        <v>17</v>
      </c>
      <c r="D959" s="6">
        <v>60000</v>
      </c>
      <c r="E959" s="2">
        <v>0</v>
      </c>
      <c r="F959" s="2" t="s">
        <v>23</v>
      </c>
      <c r="G959" s="2" t="s">
        <v>25</v>
      </c>
      <c r="H959" s="2" t="s">
        <v>20</v>
      </c>
      <c r="I959" s="2">
        <v>2</v>
      </c>
      <c r="J959" s="4" t="s">
        <v>29</v>
      </c>
      <c r="K959" s="2" t="s">
        <v>38</v>
      </c>
      <c r="L959" s="2">
        <v>30</v>
      </c>
      <c r="M959" t="str" cm="1">
        <f t="array" ref="M959">_xlfn.IFS(L959&lt;=35,"YOUNG_ADULTS",L959&lt;=55,"MIDDLE_AGED",L959&gt;55,"OLD-AGED")</f>
        <v>YOUNG_ADULTS</v>
      </c>
      <c r="O959" t="str" cm="1">
        <f t="array" ref="O959">_xlfn.IFS(D959&lt;=50000,"low income",D959&lt;=100000,"Mid income",D959&gt;100000,"High income")</f>
        <v>Mid income</v>
      </c>
      <c r="P959" t="str" cm="1">
        <f t="array" ref="P959">_xlfn.IFS(E959&lt;=2,"&lt;=2",E959&gt;2,"&gt;2")</f>
        <v>&lt;=2</v>
      </c>
    </row>
    <row r="960" spans="1:16">
      <c r="A960" s="2">
        <v>21940</v>
      </c>
      <c r="B960" s="2" t="s">
        <v>16</v>
      </c>
      <c r="C960" s="2" t="s">
        <v>16</v>
      </c>
      <c r="D960" s="6">
        <v>90000</v>
      </c>
      <c r="E960" s="2">
        <v>5</v>
      </c>
      <c r="F960" s="2" t="s">
        <v>37</v>
      </c>
      <c r="G960" s="2" t="s">
        <v>25</v>
      </c>
      <c r="H960" s="2" t="s">
        <v>20</v>
      </c>
      <c r="I960" s="2">
        <v>0</v>
      </c>
      <c r="J960" s="4" t="s">
        <v>21</v>
      </c>
      <c r="K960" s="2" t="s">
        <v>38</v>
      </c>
      <c r="L960" s="2">
        <v>47</v>
      </c>
      <c r="M960" t="str" cm="1">
        <f t="array" ref="M960">_xlfn.IFS(L960&lt;=35,"YOUNG_ADULTS",L960&lt;=55,"MIDDLE_AGED",L960&gt;55,"OLD-AGED")</f>
        <v>MIDDLE_AGED</v>
      </c>
      <c r="N960" s="2" t="s">
        <v>20</v>
      </c>
      <c r="O960" t="str" cm="1">
        <f t="array" ref="O960">_xlfn.IFS(D960&lt;=50000,"low income",D960&lt;=100000,"Mid income",D960&gt;100000,"High income")</f>
        <v>Mid income</v>
      </c>
      <c r="P960" t="str" cm="1">
        <f t="array" ref="P960">_xlfn.IFS(E960&lt;=2,"&lt;=2",E960&gt;2,"&gt;2")</f>
        <v>&gt;2</v>
      </c>
    </row>
    <row r="961" spans="1:16">
      <c r="A961" s="2">
        <v>20196</v>
      </c>
      <c r="B961" s="2" t="s">
        <v>16</v>
      </c>
      <c r="C961" s="2" t="s">
        <v>16</v>
      </c>
      <c r="D961" s="6">
        <v>60000</v>
      </c>
      <c r="E961" s="2">
        <v>1</v>
      </c>
      <c r="F961" s="2" t="s">
        <v>23</v>
      </c>
      <c r="G961" s="2" t="s">
        <v>19</v>
      </c>
      <c r="H961" s="2" t="s">
        <v>20</v>
      </c>
      <c r="I961" s="2">
        <v>1</v>
      </c>
      <c r="J961" s="4" t="s">
        <v>27</v>
      </c>
      <c r="K961" s="2" t="s">
        <v>38</v>
      </c>
      <c r="L961" s="2">
        <v>45</v>
      </c>
      <c r="M961" t="str" cm="1">
        <f t="array" ref="M961">_xlfn.IFS(L961&lt;=35,"YOUNG_ADULTS",L961&lt;=55,"MIDDLE_AGED",L961&gt;55,"OLD-AGED")</f>
        <v>MIDDLE_AGED</v>
      </c>
      <c r="N961" s="2" t="s">
        <v>20</v>
      </c>
      <c r="O961" t="str" cm="1">
        <f t="array" ref="O961">_xlfn.IFS(D961&lt;=50000,"low income",D961&lt;=100000,"Mid income",D961&gt;100000,"High income")</f>
        <v>Mid income</v>
      </c>
      <c r="P961" t="str" cm="1">
        <f t="array" ref="P961">_xlfn.IFS(E961&lt;=2,"&lt;=2",E961&gt;2,"&gt;2")</f>
        <v>&lt;=2</v>
      </c>
    </row>
    <row r="962" spans="1:16">
      <c r="A962" s="2">
        <v>23491</v>
      </c>
      <c r="B962" s="2" t="s">
        <v>28</v>
      </c>
      <c r="C962" s="2" t="s">
        <v>16</v>
      </c>
      <c r="D962" s="6">
        <v>100000</v>
      </c>
      <c r="E962" s="2">
        <v>0</v>
      </c>
      <c r="F962" s="2" t="s">
        <v>23</v>
      </c>
      <c r="G962" s="2" t="s">
        <v>25</v>
      </c>
      <c r="H962" s="2" t="s">
        <v>26</v>
      </c>
      <c r="I962" s="2">
        <v>4</v>
      </c>
      <c r="J962" s="4" t="s">
        <v>32</v>
      </c>
      <c r="K962" s="2" t="s">
        <v>38</v>
      </c>
      <c r="L962" s="2">
        <v>45</v>
      </c>
      <c r="M962" t="str" cm="1">
        <f t="array" ref="M962">_xlfn.IFS(L962&lt;=35,"YOUNG_ADULTS",L962&lt;=55,"MIDDLE_AGED",L962&gt;55,"OLD-AGED")</f>
        <v>MIDDLE_AGED</v>
      </c>
      <c r="O962" t="str" cm="1">
        <f t="array" ref="O962">_xlfn.IFS(D962&lt;=50000,"low income",D962&lt;=100000,"Mid income",D962&gt;100000,"High income")</f>
        <v>Mid income</v>
      </c>
      <c r="P962" t="str" cm="1">
        <f t="array" ref="P962">_xlfn.IFS(E962&lt;=2,"&lt;=2",E962&gt;2,"&gt;2")</f>
        <v>&lt;=2</v>
      </c>
    </row>
    <row r="963" spans="1:16">
      <c r="A963" s="2">
        <v>16651</v>
      </c>
      <c r="B963" s="2" t="s">
        <v>16</v>
      </c>
      <c r="C963" s="2" t="s">
        <v>17</v>
      </c>
      <c r="D963" s="6">
        <v>120000</v>
      </c>
      <c r="E963" s="2">
        <v>2</v>
      </c>
      <c r="F963" s="2" t="s">
        <v>18</v>
      </c>
      <c r="G963" s="2" t="s">
        <v>34</v>
      </c>
      <c r="H963" s="2" t="s">
        <v>20</v>
      </c>
      <c r="I963" s="2">
        <v>3</v>
      </c>
      <c r="J963" s="4" t="s">
        <v>29</v>
      </c>
      <c r="K963" s="2" t="s">
        <v>38</v>
      </c>
      <c r="L963" s="2">
        <v>62</v>
      </c>
      <c r="M963" t="str" cm="1">
        <f t="array" ref="M963">_xlfn.IFS(L963&lt;=35,"YOUNG_ADULTS",L963&lt;=55,"MIDDLE_AGED",L963&gt;55,"OLD-AGED")</f>
        <v>OLD-AGED</v>
      </c>
      <c r="O963" t="str" cm="1">
        <f t="array" ref="O963">_xlfn.IFS(D963&lt;=50000,"low income",D963&lt;=100000,"Mid income",D963&gt;100000,"High income")</f>
        <v>High income</v>
      </c>
      <c r="P963" t="str" cm="1">
        <f t="array" ref="P963">_xlfn.IFS(E963&lt;=2,"&lt;=2",E963&gt;2,"&gt;2")</f>
        <v>&lt;=2</v>
      </c>
    </row>
    <row r="964" spans="1:16">
      <c r="A964" s="2">
        <v>16813</v>
      </c>
      <c r="B964" s="2" t="s">
        <v>16</v>
      </c>
      <c r="C964" s="2" t="s">
        <v>16</v>
      </c>
      <c r="D964" s="6">
        <v>60000</v>
      </c>
      <c r="E964" s="2">
        <v>2</v>
      </c>
      <c r="F964" s="2" t="s">
        <v>23</v>
      </c>
      <c r="G964" s="2" t="s">
        <v>25</v>
      </c>
      <c r="H964" s="2" t="s">
        <v>20</v>
      </c>
      <c r="I964" s="2">
        <v>2</v>
      </c>
      <c r="J964" s="4" t="s">
        <v>36</v>
      </c>
      <c r="K964" s="2" t="s">
        <v>38</v>
      </c>
      <c r="L964" s="2">
        <v>55</v>
      </c>
      <c r="M964" t="str" cm="1">
        <f t="array" ref="M964">_xlfn.IFS(L964&lt;=35,"YOUNG_ADULTS",L964&lt;=55,"MIDDLE_AGED",L964&gt;55,"OLD-AGED")</f>
        <v>MIDDLE_AGED</v>
      </c>
      <c r="O964" t="str" cm="1">
        <f t="array" ref="O964">_xlfn.IFS(D964&lt;=50000,"low income",D964&lt;=100000,"Mid income",D964&gt;100000,"High income")</f>
        <v>Mid income</v>
      </c>
      <c r="P964" t="str" cm="1">
        <f t="array" ref="P964">_xlfn.IFS(E964&lt;=2,"&lt;=2",E964&gt;2,"&gt;2")</f>
        <v>&lt;=2</v>
      </c>
    </row>
    <row r="965" spans="1:16">
      <c r="A965" s="2">
        <v>16007</v>
      </c>
      <c r="B965" s="2" t="s">
        <v>16</v>
      </c>
      <c r="C965" s="2" t="s">
        <v>17</v>
      </c>
      <c r="D965" s="6">
        <v>90000</v>
      </c>
      <c r="E965" s="2">
        <v>5</v>
      </c>
      <c r="F965" s="2" t="s">
        <v>18</v>
      </c>
      <c r="G965" s="2" t="s">
        <v>34</v>
      </c>
      <c r="H965" s="2" t="s">
        <v>20</v>
      </c>
      <c r="I965" s="2">
        <v>2</v>
      </c>
      <c r="J965" s="4" t="s">
        <v>32</v>
      </c>
      <c r="K965" s="2" t="s">
        <v>38</v>
      </c>
      <c r="L965" s="2">
        <v>66</v>
      </c>
      <c r="M965" t="str" cm="1">
        <f t="array" ref="M965">_xlfn.IFS(L965&lt;=35,"YOUNG_ADULTS",L965&lt;=55,"MIDDLE_AGED",L965&gt;55,"OLD-AGED")</f>
        <v>OLD-AGED</v>
      </c>
      <c r="N965" s="2" t="s">
        <v>20</v>
      </c>
      <c r="O965" t="str" cm="1">
        <f t="array" ref="O965">_xlfn.IFS(D965&lt;=50000,"low income",D965&lt;=100000,"Mid income",D965&gt;100000,"High income")</f>
        <v>Mid income</v>
      </c>
      <c r="P965" t="str" cm="1">
        <f t="array" ref="P965">_xlfn.IFS(E965&lt;=2,"&lt;=2",E965&gt;2,"&gt;2")</f>
        <v>&gt;2</v>
      </c>
    </row>
    <row r="966" spans="1:16">
      <c r="A966" s="2">
        <v>27434</v>
      </c>
      <c r="B966" s="2" t="s">
        <v>28</v>
      </c>
      <c r="C966" s="2" t="s">
        <v>16</v>
      </c>
      <c r="D966" s="6">
        <v>70000</v>
      </c>
      <c r="E966" s="2">
        <v>4</v>
      </c>
      <c r="F966" s="2" t="s">
        <v>23</v>
      </c>
      <c r="G966" s="2" t="s">
        <v>25</v>
      </c>
      <c r="H966" s="2" t="s">
        <v>20</v>
      </c>
      <c r="I966" s="2">
        <v>1</v>
      </c>
      <c r="J966" s="4" t="s">
        <v>36</v>
      </c>
      <c r="K966" s="2" t="s">
        <v>38</v>
      </c>
      <c r="L966" s="2">
        <v>56</v>
      </c>
      <c r="M966" t="str" cm="1">
        <f t="array" ref="M966">_xlfn.IFS(L966&lt;=35,"YOUNG_ADULTS",L966&lt;=55,"MIDDLE_AGED",L966&gt;55,"OLD-AGED")</f>
        <v>OLD-AGED</v>
      </c>
      <c r="O966" t="str" cm="1">
        <f t="array" ref="O966">_xlfn.IFS(D966&lt;=50000,"low income",D966&lt;=100000,"Mid income",D966&gt;100000,"High income")</f>
        <v>Mid income</v>
      </c>
      <c r="P966" t="str" cm="1">
        <f t="array" ref="P966">_xlfn.IFS(E966&lt;=2,"&lt;=2",E966&gt;2,"&gt;2")</f>
        <v>&gt;2</v>
      </c>
    </row>
    <row r="967" spans="1:16">
      <c r="A967" s="2">
        <v>27756</v>
      </c>
      <c r="B967" s="2" t="s">
        <v>28</v>
      </c>
      <c r="C967" s="2" t="s">
        <v>17</v>
      </c>
      <c r="D967" s="6">
        <v>50000</v>
      </c>
      <c r="E967" s="2">
        <v>3</v>
      </c>
      <c r="F967" s="2" t="s">
        <v>18</v>
      </c>
      <c r="G967" s="2" t="s">
        <v>19</v>
      </c>
      <c r="H967" s="2" t="s">
        <v>26</v>
      </c>
      <c r="I967" s="2">
        <v>1</v>
      </c>
      <c r="J967" s="4" t="s">
        <v>21</v>
      </c>
      <c r="K967" s="2" t="s">
        <v>38</v>
      </c>
      <c r="L967" s="2">
        <v>40</v>
      </c>
      <c r="M967" t="str" cm="1">
        <f t="array" ref="M967">_xlfn.IFS(L967&lt;=35,"YOUNG_ADULTS",L967&lt;=55,"MIDDLE_AGED",L967&gt;55,"OLD-AGED")</f>
        <v>MIDDLE_AGED</v>
      </c>
      <c r="O967" t="str" cm="1">
        <f t="array" ref="O967">_xlfn.IFS(D967&lt;=50000,"low income",D967&lt;=100000,"Mid income",D967&gt;100000,"High income")</f>
        <v>low income</v>
      </c>
      <c r="P967" t="str" cm="1">
        <f t="array" ref="P967">_xlfn.IFS(E967&lt;=2,"&lt;=2",E967&gt;2,"&gt;2")</f>
        <v>&gt;2</v>
      </c>
    </row>
    <row r="968" spans="1:16">
      <c r="A968" s="2">
        <v>23818</v>
      </c>
      <c r="B968" s="2" t="s">
        <v>16</v>
      </c>
      <c r="C968" s="2" t="s">
        <v>17</v>
      </c>
      <c r="D968" s="6">
        <v>50000</v>
      </c>
      <c r="E968" s="2">
        <v>0</v>
      </c>
      <c r="F968" s="2" t="s">
        <v>37</v>
      </c>
      <c r="G968" s="2" t="s">
        <v>19</v>
      </c>
      <c r="H968" s="2" t="s">
        <v>20</v>
      </c>
      <c r="I968" s="2">
        <v>0</v>
      </c>
      <c r="J968" s="4" t="s">
        <v>32</v>
      </c>
      <c r="K968" s="2" t="s">
        <v>38</v>
      </c>
      <c r="L968" s="2">
        <v>33</v>
      </c>
      <c r="M968" t="str" cm="1">
        <f t="array" ref="M968">_xlfn.IFS(L968&lt;=35,"YOUNG_ADULTS",L968&lt;=55,"MIDDLE_AGED",L968&gt;55,"OLD-AGED")</f>
        <v>YOUNG_ADULTS</v>
      </c>
      <c r="N968" s="2" t="s">
        <v>20</v>
      </c>
      <c r="O968" t="str" cm="1">
        <f t="array" ref="O968">_xlfn.IFS(D968&lt;=50000,"low income",D968&lt;=100000,"Mid income",D968&gt;100000,"High income")</f>
        <v>low income</v>
      </c>
      <c r="P968" t="str" cm="1">
        <f t="array" ref="P968">_xlfn.IFS(E968&lt;=2,"&lt;=2",E968&gt;2,"&gt;2")</f>
        <v>&lt;=2</v>
      </c>
    </row>
    <row r="969" spans="1:16">
      <c r="A969" s="2">
        <v>19012</v>
      </c>
      <c r="B969" s="2" t="s">
        <v>16</v>
      </c>
      <c r="C969" s="2" t="s">
        <v>16</v>
      </c>
      <c r="D969" s="6">
        <v>80000</v>
      </c>
      <c r="E969" s="2">
        <v>3</v>
      </c>
      <c r="F969" s="2" t="s">
        <v>18</v>
      </c>
      <c r="G969" s="2" t="s">
        <v>34</v>
      </c>
      <c r="H969" s="2" t="s">
        <v>20</v>
      </c>
      <c r="I969" s="2">
        <v>1</v>
      </c>
      <c r="J969" s="4" t="s">
        <v>32</v>
      </c>
      <c r="K969" s="2" t="s">
        <v>38</v>
      </c>
      <c r="L969" s="2">
        <v>56</v>
      </c>
      <c r="M969" t="str" cm="1">
        <f t="array" ref="M969">_xlfn.IFS(L969&lt;=35,"YOUNG_ADULTS",L969&lt;=55,"MIDDLE_AGED",L969&gt;55,"OLD-AGED")</f>
        <v>OLD-AGED</v>
      </c>
      <c r="O969" t="str" cm="1">
        <f t="array" ref="O969">_xlfn.IFS(D969&lt;=50000,"low income",D969&lt;=100000,"Mid income",D969&gt;100000,"High income")</f>
        <v>Mid income</v>
      </c>
      <c r="P969" t="str" cm="1">
        <f t="array" ref="P969">_xlfn.IFS(E969&lt;=2,"&lt;=2",E969&gt;2,"&gt;2")</f>
        <v>&gt;2</v>
      </c>
    </row>
    <row r="970" spans="1:16">
      <c r="A970" s="2">
        <v>18329</v>
      </c>
      <c r="B970" s="2" t="s">
        <v>28</v>
      </c>
      <c r="C970" s="2" t="s">
        <v>16</v>
      </c>
      <c r="D970" s="6">
        <v>30000</v>
      </c>
      <c r="E970" s="2">
        <v>0</v>
      </c>
      <c r="F970" s="2" t="s">
        <v>35</v>
      </c>
      <c r="G970" s="2" t="s">
        <v>24</v>
      </c>
      <c r="H970" s="2" t="s">
        <v>26</v>
      </c>
      <c r="I970" s="2">
        <v>2</v>
      </c>
      <c r="J970" s="4" t="s">
        <v>29</v>
      </c>
      <c r="K970" s="2" t="s">
        <v>38</v>
      </c>
      <c r="L970" s="2">
        <v>27</v>
      </c>
      <c r="M970" t="str" cm="1">
        <f t="array" ref="M970">_xlfn.IFS(L970&lt;=35,"YOUNG_ADULTS",L970&lt;=55,"MIDDLE_AGED",L970&gt;55,"OLD-AGED")</f>
        <v>YOUNG_ADULTS</v>
      </c>
      <c r="O970" t="str" cm="1">
        <f t="array" ref="O970">_xlfn.IFS(D970&lt;=50000,"low income",D970&lt;=100000,"Mid income",D970&gt;100000,"High income")</f>
        <v>low income</v>
      </c>
      <c r="P970" t="str" cm="1">
        <f t="array" ref="P970">_xlfn.IFS(E970&lt;=2,"&lt;=2",E970&gt;2,"&gt;2")</f>
        <v>&lt;=2</v>
      </c>
    </row>
    <row r="971" spans="1:16">
      <c r="A971" s="2">
        <v>29037</v>
      </c>
      <c r="B971" s="2" t="s">
        <v>16</v>
      </c>
      <c r="C971" s="2" t="s">
        <v>16</v>
      </c>
      <c r="D971" s="6">
        <v>60000</v>
      </c>
      <c r="E971" s="2">
        <v>0</v>
      </c>
      <c r="F971" s="2" t="s">
        <v>37</v>
      </c>
      <c r="G971" s="2" t="s">
        <v>25</v>
      </c>
      <c r="H971" s="2" t="s">
        <v>26</v>
      </c>
      <c r="I971" s="2">
        <v>0</v>
      </c>
      <c r="J971" s="4" t="s">
        <v>21</v>
      </c>
      <c r="K971" s="2" t="s">
        <v>38</v>
      </c>
      <c r="L971" s="2">
        <v>39</v>
      </c>
      <c r="M971" t="str" cm="1">
        <f t="array" ref="M971">_xlfn.IFS(L971&lt;=35,"YOUNG_ADULTS",L971&lt;=55,"MIDDLE_AGED",L971&gt;55,"OLD-AGED")</f>
        <v>MIDDLE_AGED</v>
      </c>
      <c r="O971" t="str" cm="1">
        <f t="array" ref="O971">_xlfn.IFS(D971&lt;=50000,"low income",D971&lt;=100000,"Mid income",D971&gt;100000,"High income")</f>
        <v>Mid income</v>
      </c>
      <c r="P971" t="str" cm="1">
        <f t="array" ref="P971">_xlfn.IFS(E971&lt;=2,"&lt;=2",E971&gt;2,"&gt;2")</f>
        <v>&lt;=2</v>
      </c>
    </row>
    <row r="972" spans="1:16">
      <c r="A972" s="2">
        <v>26576</v>
      </c>
      <c r="B972" s="2" t="s">
        <v>16</v>
      </c>
      <c r="C972" s="2" t="s">
        <v>17</v>
      </c>
      <c r="D972" s="6">
        <v>60000</v>
      </c>
      <c r="E972" s="2">
        <v>0</v>
      </c>
      <c r="F972" s="2" t="s">
        <v>23</v>
      </c>
      <c r="G972" s="2" t="s">
        <v>19</v>
      </c>
      <c r="H972" s="2" t="s">
        <v>20</v>
      </c>
      <c r="I972" s="2">
        <v>2</v>
      </c>
      <c r="J972" s="4" t="s">
        <v>29</v>
      </c>
      <c r="K972" s="2" t="s">
        <v>38</v>
      </c>
      <c r="L972" s="2">
        <v>31</v>
      </c>
      <c r="M972" t="str" cm="1">
        <f t="array" ref="M972">_xlfn.IFS(L972&lt;=35,"YOUNG_ADULTS",L972&lt;=55,"MIDDLE_AGED",L972&gt;55,"OLD-AGED")</f>
        <v>YOUNG_ADULTS</v>
      </c>
      <c r="O972" t="str" cm="1">
        <f t="array" ref="O972">_xlfn.IFS(D972&lt;=50000,"low income",D972&lt;=100000,"Mid income",D972&gt;100000,"High income")</f>
        <v>Mid income</v>
      </c>
      <c r="P972" t="str" cm="1">
        <f t="array" ref="P972">_xlfn.IFS(E972&lt;=2,"&lt;=2",E972&gt;2,"&gt;2")</f>
        <v>&lt;=2</v>
      </c>
    </row>
    <row r="973" spans="1:16">
      <c r="A973" s="2">
        <v>12192</v>
      </c>
      <c r="B973" s="2" t="s">
        <v>28</v>
      </c>
      <c r="C973" s="2" t="s">
        <v>17</v>
      </c>
      <c r="D973" s="6">
        <v>60000</v>
      </c>
      <c r="E973" s="2">
        <v>2</v>
      </c>
      <c r="F973" s="2" t="s">
        <v>35</v>
      </c>
      <c r="G973" s="2" t="s">
        <v>19</v>
      </c>
      <c r="H973" s="2" t="s">
        <v>26</v>
      </c>
      <c r="I973" s="2">
        <v>2</v>
      </c>
      <c r="J973" s="4" t="s">
        <v>32</v>
      </c>
      <c r="K973" s="2" t="s">
        <v>38</v>
      </c>
      <c r="L973" s="2">
        <v>51</v>
      </c>
      <c r="M973" t="str" cm="1">
        <f t="array" ref="M973">_xlfn.IFS(L973&lt;=35,"YOUNG_ADULTS",L973&lt;=55,"MIDDLE_AGED",L973&gt;55,"OLD-AGED")</f>
        <v>MIDDLE_AGED</v>
      </c>
      <c r="O973" t="str" cm="1">
        <f t="array" ref="O973">_xlfn.IFS(D973&lt;=50000,"low income",D973&lt;=100000,"Mid income",D973&gt;100000,"High income")</f>
        <v>Mid income</v>
      </c>
      <c r="P973" t="str" cm="1">
        <f t="array" ref="P973">_xlfn.IFS(E973&lt;=2,"&lt;=2",E973&gt;2,"&gt;2")</f>
        <v>&lt;=2</v>
      </c>
    </row>
    <row r="974" spans="1:16">
      <c r="A974" s="2">
        <v>14887</v>
      </c>
      <c r="B974" s="2" t="s">
        <v>16</v>
      </c>
      <c r="C974" s="2" t="s">
        <v>17</v>
      </c>
      <c r="D974" s="6">
        <v>30000</v>
      </c>
      <c r="E974" s="2">
        <v>1</v>
      </c>
      <c r="F974" s="2" t="s">
        <v>33</v>
      </c>
      <c r="G974" s="2" t="s">
        <v>24</v>
      </c>
      <c r="H974" s="2" t="s">
        <v>20</v>
      </c>
      <c r="I974" s="2">
        <v>1</v>
      </c>
      <c r="J974" s="4" t="s">
        <v>29</v>
      </c>
      <c r="K974" s="2" t="s">
        <v>38</v>
      </c>
      <c r="L974" s="2">
        <v>52</v>
      </c>
      <c r="M974" t="str" cm="1">
        <f t="array" ref="M974">_xlfn.IFS(L974&lt;=35,"YOUNG_ADULTS",L974&lt;=55,"MIDDLE_AGED",L974&gt;55,"OLD-AGED")</f>
        <v>MIDDLE_AGED</v>
      </c>
      <c r="O974" t="str" cm="1">
        <f t="array" ref="O974">_xlfn.IFS(D974&lt;=50000,"low income",D974&lt;=100000,"Mid income",D974&gt;100000,"High income")</f>
        <v>low income</v>
      </c>
      <c r="P974" t="str" cm="1">
        <f t="array" ref="P974">_xlfn.IFS(E974&lt;=2,"&lt;=2",E974&gt;2,"&gt;2")</f>
        <v>&lt;=2</v>
      </c>
    </row>
    <row r="975" spans="1:16">
      <c r="A975" s="2">
        <v>11734</v>
      </c>
      <c r="B975" s="2" t="s">
        <v>16</v>
      </c>
      <c r="C975" s="2" t="s">
        <v>16</v>
      </c>
      <c r="D975" s="6">
        <v>60000</v>
      </c>
      <c r="E975" s="2">
        <v>1</v>
      </c>
      <c r="F975" s="2" t="s">
        <v>23</v>
      </c>
      <c r="G975" s="2" t="s">
        <v>19</v>
      </c>
      <c r="H975" s="2" t="s">
        <v>26</v>
      </c>
      <c r="I975" s="2">
        <v>1</v>
      </c>
      <c r="J975" s="4" t="s">
        <v>21</v>
      </c>
      <c r="K975" s="2" t="s">
        <v>38</v>
      </c>
      <c r="L975" s="2">
        <v>47</v>
      </c>
      <c r="M975" t="str" cm="1">
        <f t="array" ref="M975">_xlfn.IFS(L975&lt;=35,"YOUNG_ADULTS",L975&lt;=55,"MIDDLE_AGED",L975&gt;55,"OLD-AGED")</f>
        <v>MIDDLE_AGED</v>
      </c>
      <c r="O975" t="str" cm="1">
        <f t="array" ref="O975">_xlfn.IFS(D975&lt;=50000,"low income",D975&lt;=100000,"Mid income",D975&gt;100000,"High income")</f>
        <v>Mid income</v>
      </c>
      <c r="P975" t="str" cm="1">
        <f t="array" ref="P975">_xlfn.IFS(E975&lt;=2,"&lt;=2",E975&gt;2,"&gt;2")</f>
        <v>&lt;=2</v>
      </c>
    </row>
    <row r="976" spans="1:16">
      <c r="A976" s="2">
        <v>17462</v>
      </c>
      <c r="B976" s="2" t="s">
        <v>16</v>
      </c>
      <c r="C976" s="2" t="s">
        <v>16</v>
      </c>
      <c r="D976" s="6">
        <v>70000</v>
      </c>
      <c r="E976" s="2">
        <v>3</v>
      </c>
      <c r="F976" s="2" t="s">
        <v>37</v>
      </c>
      <c r="G976" s="2" t="s">
        <v>34</v>
      </c>
      <c r="H976" s="2" t="s">
        <v>20</v>
      </c>
      <c r="I976" s="2">
        <v>2</v>
      </c>
      <c r="J976" s="4" t="s">
        <v>29</v>
      </c>
      <c r="K976" s="2" t="s">
        <v>38</v>
      </c>
      <c r="L976" s="2">
        <v>53</v>
      </c>
      <c r="M976" t="str" cm="1">
        <f t="array" ref="M976">_xlfn.IFS(L976&lt;=35,"YOUNG_ADULTS",L976&lt;=55,"MIDDLE_AGED",L976&gt;55,"OLD-AGED")</f>
        <v>MIDDLE_AGED</v>
      </c>
      <c r="N976" s="2" t="s">
        <v>20</v>
      </c>
      <c r="O976" t="str" cm="1">
        <f t="array" ref="O976">_xlfn.IFS(D976&lt;=50000,"low income",D976&lt;=100000,"Mid income",D976&gt;100000,"High income")</f>
        <v>Mid income</v>
      </c>
      <c r="P976" t="str" cm="1">
        <f t="array" ref="P976">_xlfn.IFS(E976&lt;=2,"&lt;=2",E976&gt;2,"&gt;2")</f>
        <v>&gt;2</v>
      </c>
    </row>
    <row r="977" spans="1:16">
      <c r="A977" s="2">
        <v>20659</v>
      </c>
      <c r="B977" s="2" t="s">
        <v>16</v>
      </c>
      <c r="C977" s="2" t="s">
        <v>16</v>
      </c>
      <c r="D977" s="6">
        <v>70000</v>
      </c>
      <c r="E977" s="2">
        <v>3</v>
      </c>
      <c r="F977" s="2" t="s">
        <v>37</v>
      </c>
      <c r="G977" s="2" t="s">
        <v>25</v>
      </c>
      <c r="H977" s="2" t="s">
        <v>20</v>
      </c>
      <c r="I977" s="2">
        <v>0</v>
      </c>
      <c r="J977" s="4" t="s">
        <v>21</v>
      </c>
      <c r="K977" s="2" t="s">
        <v>38</v>
      </c>
      <c r="L977" s="2">
        <v>35</v>
      </c>
      <c r="M977" t="str" cm="1">
        <f t="array" ref="M977">_xlfn.IFS(L977&lt;=35,"YOUNG_ADULTS",L977&lt;=55,"MIDDLE_AGED",L977&gt;55,"OLD-AGED")</f>
        <v>YOUNG_ADULTS</v>
      </c>
      <c r="N977" s="2" t="s">
        <v>20</v>
      </c>
      <c r="O977" t="str" cm="1">
        <f t="array" ref="O977">_xlfn.IFS(D977&lt;=50000,"low income",D977&lt;=100000,"Mid income",D977&gt;100000,"High income")</f>
        <v>Mid income</v>
      </c>
      <c r="P977" t="str" cm="1">
        <f t="array" ref="P977">_xlfn.IFS(E977&lt;=2,"&lt;=2",E977&gt;2,"&gt;2")</f>
        <v>&gt;2</v>
      </c>
    </row>
    <row r="978" spans="1:16">
      <c r="A978" s="2">
        <v>28004</v>
      </c>
      <c r="B978" s="2" t="s">
        <v>16</v>
      </c>
      <c r="C978" s="2" t="s">
        <v>17</v>
      </c>
      <c r="D978" s="6">
        <v>60000</v>
      </c>
      <c r="E978" s="2">
        <v>3</v>
      </c>
      <c r="F978" s="2" t="s">
        <v>18</v>
      </c>
      <c r="G978" s="2" t="s">
        <v>34</v>
      </c>
      <c r="H978" s="2" t="s">
        <v>20</v>
      </c>
      <c r="I978" s="2">
        <v>2</v>
      </c>
      <c r="J978" s="4" t="s">
        <v>36</v>
      </c>
      <c r="K978" s="2" t="s">
        <v>38</v>
      </c>
      <c r="L978" s="2">
        <v>66</v>
      </c>
      <c r="M978" t="str" cm="1">
        <f t="array" ref="M978">_xlfn.IFS(L978&lt;=35,"YOUNG_ADULTS",L978&lt;=55,"MIDDLE_AGED",L978&gt;55,"OLD-AGED")</f>
        <v>OLD-AGED</v>
      </c>
      <c r="O978" t="str" cm="1">
        <f t="array" ref="O978">_xlfn.IFS(D978&lt;=50000,"low income",D978&lt;=100000,"Mid income",D978&gt;100000,"High income")</f>
        <v>Mid income</v>
      </c>
      <c r="P978" t="str" cm="1">
        <f t="array" ref="P978">_xlfn.IFS(E978&lt;=2,"&lt;=2",E978&gt;2,"&gt;2")</f>
        <v>&gt;2</v>
      </c>
    </row>
    <row r="979" spans="1:16">
      <c r="A979" s="2">
        <v>19741</v>
      </c>
      <c r="B979" s="2" t="s">
        <v>28</v>
      </c>
      <c r="C979" s="2" t="s">
        <v>17</v>
      </c>
      <c r="D979" s="6">
        <v>80000</v>
      </c>
      <c r="E979" s="2">
        <v>4</v>
      </c>
      <c r="F979" s="2" t="s">
        <v>37</v>
      </c>
      <c r="G979" s="2" t="s">
        <v>34</v>
      </c>
      <c r="H979" s="2" t="s">
        <v>20</v>
      </c>
      <c r="I979" s="2">
        <v>2</v>
      </c>
      <c r="J979" s="4" t="s">
        <v>29</v>
      </c>
      <c r="K979" s="2" t="s">
        <v>38</v>
      </c>
      <c r="L979" s="2">
        <v>65</v>
      </c>
      <c r="M979" t="str" cm="1">
        <f t="array" ref="M979">_xlfn.IFS(L979&lt;=35,"YOUNG_ADULTS",L979&lt;=55,"MIDDLE_AGED",L979&gt;55,"OLD-AGED")</f>
        <v>OLD-AGED</v>
      </c>
      <c r="O979" t="str" cm="1">
        <f t="array" ref="O979">_xlfn.IFS(D979&lt;=50000,"low income",D979&lt;=100000,"Mid income",D979&gt;100000,"High income")</f>
        <v>Mid income</v>
      </c>
      <c r="P979" t="str" cm="1">
        <f t="array" ref="P979">_xlfn.IFS(E979&lt;=2,"&lt;=2",E979&gt;2,"&gt;2")</f>
        <v>&gt;2</v>
      </c>
    </row>
    <row r="980" spans="1:16">
      <c r="A980" s="2">
        <v>17450</v>
      </c>
      <c r="B980" s="2" t="s">
        <v>16</v>
      </c>
      <c r="C980" s="2" t="s">
        <v>16</v>
      </c>
      <c r="D980" s="6">
        <v>80000</v>
      </c>
      <c r="E980" s="2">
        <v>5</v>
      </c>
      <c r="F980" s="2" t="s">
        <v>23</v>
      </c>
      <c r="G980" s="2" t="s">
        <v>25</v>
      </c>
      <c r="H980" s="2" t="s">
        <v>20</v>
      </c>
      <c r="I980" s="2">
        <v>3</v>
      </c>
      <c r="J980" s="4" t="s">
        <v>29</v>
      </c>
      <c r="K980" s="2" t="s">
        <v>38</v>
      </c>
      <c r="L980" s="2">
        <v>45</v>
      </c>
      <c r="M980" t="str" cm="1">
        <f t="array" ref="M980">_xlfn.IFS(L980&lt;=35,"YOUNG_ADULTS",L980&lt;=55,"MIDDLE_AGED",L980&gt;55,"OLD-AGED")</f>
        <v>MIDDLE_AGED</v>
      </c>
      <c r="O980" t="str" cm="1">
        <f t="array" ref="O980">_xlfn.IFS(D980&lt;=50000,"low income",D980&lt;=100000,"Mid income",D980&gt;100000,"High income")</f>
        <v>Mid income</v>
      </c>
      <c r="P980" t="str" cm="1">
        <f t="array" ref="P980">_xlfn.IFS(E980&lt;=2,"&lt;=2",E980&gt;2,"&gt;2")</f>
        <v>&gt;2</v>
      </c>
    </row>
    <row r="981" spans="1:16">
      <c r="A981" s="2">
        <v>17337</v>
      </c>
      <c r="B981" s="2" t="s">
        <v>28</v>
      </c>
      <c r="C981" s="2" t="s">
        <v>16</v>
      </c>
      <c r="D981" s="6">
        <v>40000</v>
      </c>
      <c r="E981" s="2">
        <v>0</v>
      </c>
      <c r="F981" s="2" t="s">
        <v>33</v>
      </c>
      <c r="G981" s="2" t="s">
        <v>19</v>
      </c>
      <c r="H981" s="2" t="s">
        <v>20</v>
      </c>
      <c r="I981" s="2">
        <v>1</v>
      </c>
      <c r="J981" s="4" t="s">
        <v>29</v>
      </c>
      <c r="K981" s="2" t="s">
        <v>38</v>
      </c>
      <c r="L981" s="2">
        <v>31</v>
      </c>
      <c r="M981" t="str" cm="1">
        <f t="array" ref="M981">_xlfn.IFS(L981&lt;=35,"YOUNG_ADULTS",L981&lt;=55,"MIDDLE_AGED",L981&gt;55,"OLD-AGED")</f>
        <v>YOUNG_ADULTS</v>
      </c>
      <c r="O981" t="str" cm="1">
        <f t="array" ref="O981">_xlfn.IFS(D981&lt;=50000,"low income",D981&lt;=100000,"Mid income",D981&gt;100000,"High income")</f>
        <v>low income</v>
      </c>
      <c r="P981" t="str" cm="1">
        <f t="array" ref="P981">_xlfn.IFS(E981&lt;=2,"&lt;=2",E981&gt;2,"&gt;2")</f>
        <v>&lt;=2</v>
      </c>
    </row>
    <row r="982" spans="1:16">
      <c r="A982" s="2">
        <v>18594</v>
      </c>
      <c r="B982" s="2" t="s">
        <v>28</v>
      </c>
      <c r="C982" s="2" t="s">
        <v>17</v>
      </c>
      <c r="D982" s="6">
        <v>80000</v>
      </c>
      <c r="E982" s="2">
        <v>3</v>
      </c>
      <c r="F982" s="2" t="s">
        <v>18</v>
      </c>
      <c r="G982" s="2" t="s">
        <v>19</v>
      </c>
      <c r="H982" s="2" t="s">
        <v>20</v>
      </c>
      <c r="I982" s="2">
        <v>3</v>
      </c>
      <c r="J982" s="4" t="s">
        <v>36</v>
      </c>
      <c r="K982" s="2" t="s">
        <v>38</v>
      </c>
      <c r="L982" s="2">
        <v>40</v>
      </c>
      <c r="M982" t="str" cm="1">
        <f t="array" ref="M982">_xlfn.IFS(L982&lt;=35,"YOUNG_ADULTS",L982&lt;=55,"MIDDLE_AGED",L982&gt;55,"OLD-AGED")</f>
        <v>MIDDLE_AGED</v>
      </c>
      <c r="N982" s="2" t="s">
        <v>20</v>
      </c>
      <c r="O982" t="str" cm="1">
        <f t="array" ref="O982">_xlfn.IFS(D982&lt;=50000,"low income",D982&lt;=100000,"Mid income",D982&gt;100000,"High income")</f>
        <v>Mid income</v>
      </c>
      <c r="P982" t="str" cm="1">
        <f t="array" ref="P982">_xlfn.IFS(E982&lt;=2,"&lt;=2",E982&gt;2,"&gt;2")</f>
        <v>&gt;2</v>
      </c>
    </row>
    <row r="983" spans="1:16">
      <c r="A983" s="2">
        <v>15982</v>
      </c>
      <c r="B983" s="2" t="s">
        <v>16</v>
      </c>
      <c r="C983" s="2" t="s">
        <v>16</v>
      </c>
      <c r="D983" s="6">
        <v>110000</v>
      </c>
      <c r="E983" s="2">
        <v>5</v>
      </c>
      <c r="F983" s="2" t="s">
        <v>23</v>
      </c>
      <c r="G983" s="2" t="s">
        <v>25</v>
      </c>
      <c r="H983" s="2" t="s">
        <v>20</v>
      </c>
      <c r="I983" s="2">
        <v>4</v>
      </c>
      <c r="J983" s="4" t="s">
        <v>27</v>
      </c>
      <c r="K983" s="2" t="s">
        <v>38</v>
      </c>
      <c r="L983" s="2">
        <v>46</v>
      </c>
      <c r="M983" t="str" cm="1">
        <f t="array" ref="M983">_xlfn.IFS(L983&lt;=35,"YOUNG_ADULTS",L983&lt;=55,"MIDDLE_AGED",L983&gt;55,"OLD-AGED")</f>
        <v>MIDDLE_AGED</v>
      </c>
      <c r="O983" t="str" cm="1">
        <f t="array" ref="O983">_xlfn.IFS(D983&lt;=50000,"low income",D983&lt;=100000,"Mid income",D983&gt;100000,"High income")</f>
        <v>High income</v>
      </c>
      <c r="P983" t="str" cm="1">
        <f t="array" ref="P983">_xlfn.IFS(E983&lt;=2,"&lt;=2",E983&gt;2,"&gt;2")</f>
        <v>&gt;2</v>
      </c>
    </row>
    <row r="984" spans="1:16">
      <c r="A984" s="2">
        <v>28625</v>
      </c>
      <c r="B984" s="2" t="s">
        <v>28</v>
      </c>
      <c r="C984" s="2" t="s">
        <v>16</v>
      </c>
      <c r="D984" s="6">
        <v>40000</v>
      </c>
      <c r="E984" s="2">
        <v>2</v>
      </c>
      <c r="F984" s="2" t="s">
        <v>23</v>
      </c>
      <c r="G984" s="2" t="s">
        <v>24</v>
      </c>
      <c r="H984" s="2" t="s">
        <v>26</v>
      </c>
      <c r="I984" s="2">
        <v>1</v>
      </c>
      <c r="J984" s="4" t="s">
        <v>32</v>
      </c>
      <c r="K984" s="2" t="s">
        <v>38</v>
      </c>
      <c r="L984" s="2">
        <v>47</v>
      </c>
      <c r="M984" t="str" cm="1">
        <f t="array" ref="M984">_xlfn.IFS(L984&lt;=35,"YOUNG_ADULTS",L984&lt;=55,"MIDDLE_AGED",L984&gt;55,"OLD-AGED")</f>
        <v>MIDDLE_AGED</v>
      </c>
      <c r="N984" s="2" t="s">
        <v>20</v>
      </c>
      <c r="O984" t="str" cm="1">
        <f t="array" ref="O984">_xlfn.IFS(D984&lt;=50000,"low income",D984&lt;=100000,"Mid income",D984&gt;100000,"High income")</f>
        <v>low income</v>
      </c>
      <c r="P984" t="str" cm="1">
        <f t="array" ref="P984">_xlfn.IFS(E984&lt;=2,"&lt;=2",E984&gt;2,"&gt;2")</f>
        <v>&lt;=2</v>
      </c>
    </row>
    <row r="985" spans="1:16">
      <c r="A985" s="2">
        <v>11269</v>
      </c>
      <c r="B985" s="2" t="s">
        <v>16</v>
      </c>
      <c r="C985" s="2" t="s">
        <v>16</v>
      </c>
      <c r="D985" s="6">
        <v>130000</v>
      </c>
      <c r="E985" s="2">
        <v>2</v>
      </c>
      <c r="F985" s="2" t="s">
        <v>37</v>
      </c>
      <c r="G985" s="2" t="s">
        <v>34</v>
      </c>
      <c r="H985" s="2" t="s">
        <v>20</v>
      </c>
      <c r="I985" s="2">
        <v>2</v>
      </c>
      <c r="J985" s="4" t="s">
        <v>21</v>
      </c>
      <c r="K985" s="2" t="s">
        <v>38</v>
      </c>
      <c r="L985" s="2">
        <v>41</v>
      </c>
      <c r="M985" t="str" cm="1">
        <f t="array" ref="M985">_xlfn.IFS(L985&lt;=35,"YOUNG_ADULTS",L985&lt;=55,"MIDDLE_AGED",L985&gt;55,"OLD-AGED")</f>
        <v>MIDDLE_AGED</v>
      </c>
      <c r="O985" t="str" cm="1">
        <f t="array" ref="O985">_xlfn.IFS(D985&lt;=50000,"low income",D985&lt;=100000,"Mid income",D985&gt;100000,"High income")</f>
        <v>High income</v>
      </c>
      <c r="P985" t="str" cm="1">
        <f t="array" ref="P985">_xlfn.IFS(E985&lt;=2,"&lt;=2",E985&gt;2,"&gt;2")</f>
        <v>&lt;=2</v>
      </c>
    </row>
    <row r="986" spans="1:16">
      <c r="A986" s="2">
        <v>25148</v>
      </c>
      <c r="B986" s="2" t="s">
        <v>16</v>
      </c>
      <c r="C986" s="2" t="s">
        <v>16</v>
      </c>
      <c r="D986" s="6">
        <v>60000</v>
      </c>
      <c r="E986" s="2">
        <v>2</v>
      </c>
      <c r="F986" s="2" t="s">
        <v>33</v>
      </c>
      <c r="G986" s="2" t="s">
        <v>25</v>
      </c>
      <c r="H986" s="2" t="s">
        <v>26</v>
      </c>
      <c r="I986" s="2">
        <v>2</v>
      </c>
      <c r="J986" s="4" t="s">
        <v>32</v>
      </c>
      <c r="K986" s="2" t="s">
        <v>38</v>
      </c>
      <c r="L986" s="2">
        <v>48</v>
      </c>
      <c r="M986" t="str" cm="1">
        <f t="array" ref="M986">_xlfn.IFS(L986&lt;=35,"YOUNG_ADULTS",L986&lt;=55,"MIDDLE_AGED",L986&gt;55,"OLD-AGED")</f>
        <v>MIDDLE_AGED</v>
      </c>
      <c r="N986" s="2" t="s">
        <v>20</v>
      </c>
      <c r="O986" t="str" cm="1">
        <f t="array" ref="O986">_xlfn.IFS(D986&lt;=50000,"low income",D986&lt;=100000,"Mid income",D986&gt;100000,"High income")</f>
        <v>Mid income</v>
      </c>
      <c r="P986" t="str" cm="1">
        <f t="array" ref="P986">_xlfn.IFS(E986&lt;=2,"&lt;=2",E986&gt;2,"&gt;2")</f>
        <v>&lt;=2</v>
      </c>
    </row>
    <row r="987" spans="1:16">
      <c r="A987" s="2">
        <v>13920</v>
      </c>
      <c r="B987" s="2" t="s">
        <v>28</v>
      </c>
      <c r="C987" s="2" t="s">
        <v>17</v>
      </c>
      <c r="D987" s="6">
        <v>50000</v>
      </c>
      <c r="E987" s="2">
        <v>4</v>
      </c>
      <c r="F987" s="2" t="s">
        <v>18</v>
      </c>
      <c r="G987" s="2" t="s">
        <v>19</v>
      </c>
      <c r="H987" s="2" t="s">
        <v>20</v>
      </c>
      <c r="I987" s="2">
        <v>2</v>
      </c>
      <c r="J987" s="4" t="s">
        <v>21</v>
      </c>
      <c r="K987" s="2" t="s">
        <v>38</v>
      </c>
      <c r="L987" s="2">
        <v>42</v>
      </c>
      <c r="M987" t="str" cm="1">
        <f t="array" ref="M987">_xlfn.IFS(L987&lt;=35,"YOUNG_ADULTS",L987&lt;=55,"MIDDLE_AGED",L987&gt;55,"OLD-AGED")</f>
        <v>MIDDLE_AGED</v>
      </c>
      <c r="O987" t="str" cm="1">
        <f t="array" ref="O987">_xlfn.IFS(D987&lt;=50000,"low income",D987&lt;=100000,"Mid income",D987&gt;100000,"High income")</f>
        <v>low income</v>
      </c>
      <c r="P987" t="str" cm="1">
        <f t="array" ref="P987">_xlfn.IFS(E987&lt;=2,"&lt;=2",E987&gt;2,"&gt;2")</f>
        <v>&gt;2</v>
      </c>
    </row>
    <row r="988" spans="1:16">
      <c r="A988" s="2">
        <v>23704</v>
      </c>
      <c r="B988" s="2" t="s">
        <v>28</v>
      </c>
      <c r="C988" s="2" t="s">
        <v>16</v>
      </c>
      <c r="D988" s="6">
        <v>40000</v>
      </c>
      <c r="E988" s="2">
        <v>5</v>
      </c>
      <c r="F988" s="2" t="s">
        <v>33</v>
      </c>
      <c r="G988" s="2" t="s">
        <v>25</v>
      </c>
      <c r="H988" s="2" t="s">
        <v>20</v>
      </c>
      <c r="I988" s="2">
        <v>4</v>
      </c>
      <c r="J988" s="4" t="s">
        <v>36</v>
      </c>
      <c r="K988" s="2" t="s">
        <v>38</v>
      </c>
      <c r="L988" s="2">
        <v>60</v>
      </c>
      <c r="M988" t="str" cm="1">
        <f t="array" ref="M988">_xlfn.IFS(L988&lt;=35,"YOUNG_ADULTS",L988&lt;=55,"MIDDLE_AGED",L988&gt;55,"OLD-AGED")</f>
        <v>OLD-AGED</v>
      </c>
      <c r="N988" s="2" t="s">
        <v>20</v>
      </c>
      <c r="O988" t="str" cm="1">
        <f t="array" ref="O988">_xlfn.IFS(D988&lt;=50000,"low income",D988&lt;=100000,"Mid income",D988&gt;100000,"High income")</f>
        <v>low income</v>
      </c>
      <c r="P988" t="str" cm="1">
        <f t="array" ref="P988">_xlfn.IFS(E988&lt;=2,"&lt;=2",E988&gt;2,"&gt;2")</f>
        <v>&gt;2</v>
      </c>
    </row>
    <row r="989" spans="1:16">
      <c r="A989" s="2">
        <v>28972</v>
      </c>
      <c r="B989" s="2" t="s">
        <v>28</v>
      </c>
      <c r="C989" s="2" t="s">
        <v>17</v>
      </c>
      <c r="D989" s="6">
        <v>60000</v>
      </c>
      <c r="E989" s="2">
        <v>3</v>
      </c>
      <c r="F989" s="2" t="s">
        <v>37</v>
      </c>
      <c r="G989" s="2" t="s">
        <v>34</v>
      </c>
      <c r="H989" s="2" t="s">
        <v>20</v>
      </c>
      <c r="I989" s="2">
        <v>2</v>
      </c>
      <c r="J989" s="4" t="s">
        <v>36</v>
      </c>
      <c r="K989" s="2" t="s">
        <v>38</v>
      </c>
      <c r="L989" s="2">
        <v>66</v>
      </c>
      <c r="M989" t="str" cm="1">
        <f t="array" ref="M989">_xlfn.IFS(L989&lt;=35,"YOUNG_ADULTS",L989&lt;=55,"MIDDLE_AGED",L989&gt;55,"OLD-AGED")</f>
        <v>OLD-AGED</v>
      </c>
      <c r="O989" t="str" cm="1">
        <f t="array" ref="O989">_xlfn.IFS(D989&lt;=50000,"low income",D989&lt;=100000,"Mid income",D989&gt;100000,"High income")</f>
        <v>Mid income</v>
      </c>
      <c r="P989" t="str" cm="1">
        <f t="array" ref="P989">_xlfn.IFS(E989&lt;=2,"&lt;=2",E989&gt;2,"&gt;2")</f>
        <v>&gt;2</v>
      </c>
    </row>
    <row r="990" spans="1:16">
      <c r="A990" s="2">
        <v>22730</v>
      </c>
      <c r="B990" s="2" t="s">
        <v>16</v>
      </c>
      <c r="C990" s="2" t="s">
        <v>16</v>
      </c>
      <c r="D990" s="6">
        <v>70000</v>
      </c>
      <c r="E990" s="2">
        <v>5</v>
      </c>
      <c r="F990" s="2" t="s">
        <v>18</v>
      </c>
      <c r="G990" s="2" t="s">
        <v>34</v>
      </c>
      <c r="H990" s="2" t="s">
        <v>20</v>
      </c>
      <c r="I990" s="2">
        <v>2</v>
      </c>
      <c r="J990" s="4" t="s">
        <v>36</v>
      </c>
      <c r="K990" s="2" t="s">
        <v>38</v>
      </c>
      <c r="L990" s="2">
        <v>63</v>
      </c>
      <c r="M990" t="str" cm="1">
        <f t="array" ref="M990">_xlfn.IFS(L990&lt;=35,"YOUNG_ADULTS",L990&lt;=55,"MIDDLE_AGED",L990&gt;55,"OLD-AGED")</f>
        <v>OLD-AGED</v>
      </c>
      <c r="O990" t="str" cm="1">
        <f t="array" ref="O990">_xlfn.IFS(D990&lt;=50000,"low income",D990&lt;=100000,"Mid income",D990&gt;100000,"High income")</f>
        <v>Mid income</v>
      </c>
      <c r="P990" t="str" cm="1">
        <f t="array" ref="P990">_xlfn.IFS(E990&lt;=2,"&lt;=2",E990&gt;2,"&gt;2")</f>
        <v>&gt;2</v>
      </c>
    </row>
    <row r="991" spans="1:16">
      <c r="A991" s="2">
        <v>29134</v>
      </c>
      <c r="B991" s="2" t="s">
        <v>16</v>
      </c>
      <c r="C991" s="2" t="s">
        <v>16</v>
      </c>
      <c r="D991" s="6">
        <v>60000</v>
      </c>
      <c r="E991" s="2">
        <v>4</v>
      </c>
      <c r="F991" s="2" t="s">
        <v>18</v>
      </c>
      <c r="G991" s="2" t="s">
        <v>19</v>
      </c>
      <c r="H991" s="2" t="s">
        <v>26</v>
      </c>
      <c r="I991" s="2">
        <v>3</v>
      </c>
      <c r="J991" s="4" t="s">
        <v>36</v>
      </c>
      <c r="K991" s="2" t="s">
        <v>38</v>
      </c>
      <c r="L991" s="2">
        <v>42</v>
      </c>
      <c r="M991" t="str" cm="1">
        <f t="array" ref="M991">_xlfn.IFS(L991&lt;=35,"YOUNG_ADULTS",L991&lt;=55,"MIDDLE_AGED",L991&gt;55,"OLD-AGED")</f>
        <v>MIDDLE_AGED</v>
      </c>
      <c r="O991" t="str" cm="1">
        <f t="array" ref="O991">_xlfn.IFS(D991&lt;=50000,"low income",D991&lt;=100000,"Mid income",D991&gt;100000,"High income")</f>
        <v>Mid income</v>
      </c>
      <c r="P991" t="str" cm="1">
        <f t="array" ref="P991">_xlfn.IFS(E991&lt;=2,"&lt;=2",E991&gt;2,"&gt;2")</f>
        <v>&gt;2</v>
      </c>
    </row>
    <row r="992" spans="1:16">
      <c r="A992" s="2">
        <v>14332</v>
      </c>
      <c r="B992" s="2" t="s">
        <v>28</v>
      </c>
      <c r="C992" s="2" t="s">
        <v>17</v>
      </c>
      <c r="D992" s="6">
        <v>30000</v>
      </c>
      <c r="E992" s="2">
        <v>0</v>
      </c>
      <c r="F992" s="2" t="s">
        <v>33</v>
      </c>
      <c r="G992" s="2" t="s">
        <v>19</v>
      </c>
      <c r="H992" s="2" t="s">
        <v>26</v>
      </c>
      <c r="I992" s="2">
        <v>2</v>
      </c>
      <c r="J992" s="4" t="s">
        <v>29</v>
      </c>
      <c r="K992" s="2" t="s">
        <v>38</v>
      </c>
      <c r="L992" s="2">
        <v>26</v>
      </c>
      <c r="M992" t="str" cm="1">
        <f t="array" ref="M992">_xlfn.IFS(L992&lt;=35,"YOUNG_ADULTS",L992&lt;=55,"MIDDLE_AGED",L992&gt;55,"OLD-AGED")</f>
        <v>YOUNG_ADULTS</v>
      </c>
      <c r="O992" t="str" cm="1">
        <f t="array" ref="O992">_xlfn.IFS(D992&lt;=50000,"low income",D992&lt;=100000,"Mid income",D992&gt;100000,"High income")</f>
        <v>low income</v>
      </c>
      <c r="P992" t="str" cm="1">
        <f t="array" ref="P992">_xlfn.IFS(E992&lt;=2,"&lt;=2",E992&gt;2,"&gt;2")</f>
        <v>&lt;=2</v>
      </c>
    </row>
    <row r="993" spans="1:16">
      <c r="A993" s="2">
        <v>19117</v>
      </c>
      <c r="B993" s="2" t="s">
        <v>28</v>
      </c>
      <c r="C993" s="2" t="s">
        <v>17</v>
      </c>
      <c r="D993" s="6">
        <v>60000</v>
      </c>
      <c r="E993" s="2">
        <v>1</v>
      </c>
      <c r="F993" s="2" t="s">
        <v>37</v>
      </c>
      <c r="G993" s="2" t="s">
        <v>25</v>
      </c>
      <c r="H993" s="2" t="s">
        <v>20</v>
      </c>
      <c r="I993" s="2">
        <v>0</v>
      </c>
      <c r="J993" s="4" t="s">
        <v>27</v>
      </c>
      <c r="K993" s="2" t="s">
        <v>38</v>
      </c>
      <c r="L993" s="2">
        <v>36</v>
      </c>
      <c r="M993" t="str" cm="1">
        <f t="array" ref="M993">_xlfn.IFS(L993&lt;=35,"YOUNG_ADULTS",L993&lt;=55,"MIDDLE_AGED",L993&gt;55,"OLD-AGED")</f>
        <v>MIDDLE_AGED</v>
      </c>
      <c r="N993" s="2" t="s">
        <v>20</v>
      </c>
      <c r="O993" t="str" cm="1">
        <f t="array" ref="O993">_xlfn.IFS(D993&lt;=50000,"low income",D993&lt;=100000,"Mid income",D993&gt;100000,"High income")</f>
        <v>Mid income</v>
      </c>
      <c r="P993" t="str" cm="1">
        <f t="array" ref="P993">_xlfn.IFS(E993&lt;=2,"&lt;=2",E993&gt;2,"&gt;2")</f>
        <v>&lt;=2</v>
      </c>
    </row>
    <row r="994" spans="1:16">
      <c r="A994" s="2">
        <v>22864</v>
      </c>
      <c r="B994" s="2" t="s">
        <v>16</v>
      </c>
      <c r="C994" s="2" t="s">
        <v>16</v>
      </c>
      <c r="D994" s="6">
        <v>90000</v>
      </c>
      <c r="E994" s="2">
        <v>2</v>
      </c>
      <c r="F994" s="2" t="s">
        <v>23</v>
      </c>
      <c r="G994" s="2" t="s">
        <v>25</v>
      </c>
      <c r="H994" s="2" t="s">
        <v>26</v>
      </c>
      <c r="I994" s="2">
        <v>0</v>
      </c>
      <c r="J994" s="4" t="s">
        <v>29</v>
      </c>
      <c r="K994" s="2" t="s">
        <v>38</v>
      </c>
      <c r="L994" s="2">
        <v>49</v>
      </c>
      <c r="M994" t="str" cm="1">
        <f t="array" ref="M994">_xlfn.IFS(L994&lt;=35,"YOUNG_ADULTS",L994&lt;=55,"MIDDLE_AGED",L994&gt;55,"OLD-AGED")</f>
        <v>MIDDLE_AGED</v>
      </c>
      <c r="N994" s="2" t="s">
        <v>20</v>
      </c>
      <c r="O994" t="str" cm="1">
        <f t="array" ref="O994">_xlfn.IFS(D994&lt;=50000,"low income",D994&lt;=100000,"Mid income",D994&gt;100000,"High income")</f>
        <v>Mid income</v>
      </c>
      <c r="P994" t="str" cm="1">
        <f t="array" ref="P994">_xlfn.IFS(E994&lt;=2,"&lt;=2",E994&gt;2,"&gt;2")</f>
        <v>&lt;=2</v>
      </c>
    </row>
    <row r="995" spans="1:16">
      <c r="A995" s="2">
        <v>11292</v>
      </c>
      <c r="B995" s="2" t="s">
        <v>28</v>
      </c>
      <c r="C995" s="2" t="s">
        <v>16</v>
      </c>
      <c r="D995" s="6">
        <v>150000</v>
      </c>
      <c r="E995" s="2">
        <v>1</v>
      </c>
      <c r="F995" s="2" t="s">
        <v>23</v>
      </c>
      <c r="G995" s="2" t="s">
        <v>25</v>
      </c>
      <c r="H995" s="2" t="s">
        <v>26</v>
      </c>
      <c r="I995" s="2">
        <v>3</v>
      </c>
      <c r="J995" s="4" t="s">
        <v>21</v>
      </c>
      <c r="K995" s="2" t="s">
        <v>38</v>
      </c>
      <c r="L995" s="2">
        <v>44</v>
      </c>
      <c r="M995" t="str" cm="1">
        <f t="array" ref="M995">_xlfn.IFS(L995&lt;=35,"YOUNG_ADULTS",L995&lt;=55,"MIDDLE_AGED",L995&gt;55,"OLD-AGED")</f>
        <v>MIDDLE_AGED</v>
      </c>
      <c r="N995" s="2" t="s">
        <v>20</v>
      </c>
      <c r="O995" t="str" cm="1">
        <f t="array" ref="O995">_xlfn.IFS(D995&lt;=50000,"low income",D995&lt;=100000,"Mid income",D995&gt;100000,"High income")</f>
        <v>High income</v>
      </c>
      <c r="P995" t="str" cm="1">
        <f t="array" ref="P995">_xlfn.IFS(E995&lt;=2,"&lt;=2",E995&gt;2,"&gt;2")</f>
        <v>&lt;=2</v>
      </c>
    </row>
    <row r="996" spans="1:16">
      <c r="A996" s="2">
        <v>13466</v>
      </c>
      <c r="B996" s="2" t="s">
        <v>16</v>
      </c>
      <c r="C996" s="2" t="s">
        <v>16</v>
      </c>
      <c r="D996" s="6">
        <v>80000</v>
      </c>
      <c r="E996" s="2">
        <v>5</v>
      </c>
      <c r="F996" s="2" t="s">
        <v>23</v>
      </c>
      <c r="G996" s="2" t="s">
        <v>25</v>
      </c>
      <c r="H996" s="2" t="s">
        <v>20</v>
      </c>
      <c r="I996" s="2">
        <v>3</v>
      </c>
      <c r="J996" s="4" t="s">
        <v>32</v>
      </c>
      <c r="K996" s="2" t="s">
        <v>38</v>
      </c>
      <c r="L996" s="2">
        <v>46</v>
      </c>
      <c r="M996" t="str" cm="1">
        <f t="array" ref="M996">_xlfn.IFS(L996&lt;=35,"YOUNG_ADULTS",L996&lt;=55,"MIDDLE_AGED",L996&gt;55,"OLD-AGED")</f>
        <v>MIDDLE_AGED</v>
      </c>
      <c r="O996" t="str" cm="1">
        <f t="array" ref="O996">_xlfn.IFS(D996&lt;=50000,"low income",D996&lt;=100000,"Mid income",D996&gt;100000,"High income")</f>
        <v>Mid income</v>
      </c>
      <c r="P996" t="str" cm="1">
        <f t="array" ref="P996">_xlfn.IFS(E996&lt;=2,"&lt;=2",E996&gt;2,"&gt;2")</f>
        <v>&gt;2</v>
      </c>
    </row>
    <row r="997" spans="1:16">
      <c r="A997" s="2">
        <v>23731</v>
      </c>
      <c r="B997" s="2" t="s">
        <v>16</v>
      </c>
      <c r="C997" s="2" t="s">
        <v>16</v>
      </c>
      <c r="D997" s="6">
        <v>60000</v>
      </c>
      <c r="E997" s="8">
        <v>2</v>
      </c>
      <c r="F997" s="2" t="s">
        <v>33</v>
      </c>
      <c r="G997" s="2" t="s">
        <v>25</v>
      </c>
      <c r="H997" s="2" t="s">
        <v>20</v>
      </c>
      <c r="I997" s="2">
        <v>2</v>
      </c>
      <c r="J997" s="4" t="s">
        <v>27</v>
      </c>
      <c r="K997" s="2" t="s">
        <v>38</v>
      </c>
      <c r="L997" s="2">
        <v>54</v>
      </c>
      <c r="M997" t="str" cm="1">
        <f t="array" ref="M997">_xlfn.IFS(L997&lt;=35,"YOUNG_ADULTS",L997&lt;=55,"MIDDLE_AGED",L997&gt;55,"OLD-AGED")</f>
        <v>MIDDLE_AGED</v>
      </c>
      <c r="N997" s="2" t="s">
        <v>20</v>
      </c>
      <c r="O997" t="str" cm="1">
        <f t="array" ref="O997">_xlfn.IFS(D997&lt;=50000,"low income",D997&lt;=100000,"Mid income",D997&gt;100000,"High income")</f>
        <v>Mid income</v>
      </c>
      <c r="P997" t="str" cm="1">
        <f t="array" ref="P997">_xlfn.IFS(E997&lt;=2,"&lt;=2",E997&gt;2,"&gt;2")</f>
        <v>&lt;=2</v>
      </c>
    </row>
    <row r="998" spans="1:16">
      <c r="A998" s="2">
        <v>28672</v>
      </c>
      <c r="B998" s="2" t="s">
        <v>28</v>
      </c>
      <c r="C998" s="2" t="s">
        <v>16</v>
      </c>
      <c r="D998" s="6">
        <v>70000</v>
      </c>
      <c r="E998" s="2">
        <v>4</v>
      </c>
      <c r="F998" s="2" t="s">
        <v>37</v>
      </c>
      <c r="G998" s="2" t="s">
        <v>25</v>
      </c>
      <c r="H998" s="2" t="s">
        <v>20</v>
      </c>
      <c r="I998" s="2">
        <v>0</v>
      </c>
      <c r="J998" s="4" t="s">
        <v>27</v>
      </c>
      <c r="K998" s="2" t="s">
        <v>38</v>
      </c>
      <c r="L998" s="2">
        <v>35</v>
      </c>
      <c r="M998" t="str" cm="1">
        <f t="array" ref="M998">_xlfn.IFS(L998&lt;=35,"YOUNG_ADULTS",L998&lt;=55,"MIDDLE_AGED",L998&gt;55,"OLD-AGED")</f>
        <v>YOUNG_ADULTS</v>
      </c>
      <c r="N998" s="2" t="s">
        <v>20</v>
      </c>
      <c r="O998" t="str" cm="1">
        <f t="array" ref="O998">_xlfn.IFS(D998&lt;=50000,"low income",D998&lt;=100000,"Mid income",D998&gt;100000,"High income")</f>
        <v>Mid income</v>
      </c>
      <c r="P998" t="str" cm="1">
        <f t="array" ref="P998">_xlfn.IFS(E998&lt;=2,"&lt;=2",E998&gt;2,"&gt;2")</f>
        <v>&gt;2</v>
      </c>
    </row>
    <row r="999" spans="1:16">
      <c r="A999" s="2">
        <v>11809</v>
      </c>
      <c r="B999" s="2" t="s">
        <v>16</v>
      </c>
      <c r="C999" s="2" t="s">
        <v>16</v>
      </c>
      <c r="D999" s="6">
        <v>60000</v>
      </c>
      <c r="E999" s="2">
        <v>2</v>
      </c>
      <c r="F999" s="2" t="s">
        <v>18</v>
      </c>
      <c r="G999" s="2" t="s">
        <v>19</v>
      </c>
      <c r="H999" s="2" t="s">
        <v>20</v>
      </c>
      <c r="I999" s="2">
        <v>0</v>
      </c>
      <c r="J999" s="4" t="s">
        <v>21</v>
      </c>
      <c r="K999" s="2" t="s">
        <v>38</v>
      </c>
      <c r="L999" s="2">
        <v>38</v>
      </c>
      <c r="M999" t="str" cm="1">
        <f t="array" ref="M999">_xlfn.IFS(L999&lt;=35,"YOUNG_ADULTS",L999&lt;=55,"MIDDLE_AGED",L999&gt;55,"OLD-AGED")</f>
        <v>MIDDLE_AGED</v>
      </c>
      <c r="N999" s="2" t="s">
        <v>20</v>
      </c>
      <c r="O999" t="str" cm="1">
        <f t="array" ref="O999">_xlfn.IFS(D999&lt;=50000,"low income",D999&lt;=100000,"Mid income",D999&gt;100000,"High income")</f>
        <v>Mid income</v>
      </c>
      <c r="P999" t="str" cm="1">
        <f t="array" ref="P999">_xlfn.IFS(E999&lt;=2,"&lt;=2",E999&gt;2,"&gt;2")</f>
        <v>&lt;=2</v>
      </c>
    </row>
    <row r="1000" spans="1:16">
      <c r="A1000" s="2">
        <v>19664</v>
      </c>
      <c r="B1000" s="2" t="s">
        <v>28</v>
      </c>
      <c r="C1000" s="2" t="s">
        <v>16</v>
      </c>
      <c r="D1000" s="6">
        <v>100000</v>
      </c>
      <c r="E1000" s="2">
        <v>3</v>
      </c>
      <c r="F1000" s="2" t="s">
        <v>18</v>
      </c>
      <c r="G1000" s="2" t="s">
        <v>34</v>
      </c>
      <c r="H1000" s="2" t="s">
        <v>26</v>
      </c>
      <c r="I1000" s="2">
        <v>3</v>
      </c>
      <c r="J1000" s="4" t="s">
        <v>32</v>
      </c>
      <c r="K1000" s="2" t="s">
        <v>38</v>
      </c>
      <c r="L1000" s="2">
        <v>38</v>
      </c>
      <c r="M1000" t="str" cm="1">
        <f t="array" ref="M1000">_xlfn.IFS(L1000&lt;=35,"YOUNG_ADULTS",L1000&lt;=55,"MIDDLE_AGED",L1000&gt;55,"OLD-AGED")</f>
        <v>MIDDLE_AGED</v>
      </c>
      <c r="O1000" t="str" cm="1">
        <f t="array" ref="O1000">_xlfn.IFS(D1000&lt;=50000,"low income",D1000&lt;=100000,"Mid income",D1000&gt;100000,"High income")</f>
        <v>Mid income</v>
      </c>
      <c r="P1000" t="str" cm="1">
        <f t="array" ref="P1000">_xlfn.IFS(E1000&lt;=2,"&lt;=2",E1000&gt;2,"&gt;2")</f>
        <v>&gt;2</v>
      </c>
    </row>
    <row r="1001" spans="1:16">
      <c r="A1001" s="2">
        <v>12121</v>
      </c>
      <c r="B1001" s="2" t="s">
        <v>28</v>
      </c>
      <c r="C1001" s="2" t="s">
        <v>16</v>
      </c>
      <c r="D1001" s="6">
        <v>60000</v>
      </c>
      <c r="E1001" s="2">
        <v>3</v>
      </c>
      <c r="F1001" s="2" t="s">
        <v>33</v>
      </c>
      <c r="G1001" s="2" t="s">
        <v>25</v>
      </c>
      <c r="H1001" s="2" t="s">
        <v>20</v>
      </c>
      <c r="I1001" s="2">
        <v>2</v>
      </c>
      <c r="J1001" s="4" t="s">
        <v>36</v>
      </c>
      <c r="K1001" s="2" t="s">
        <v>38</v>
      </c>
      <c r="L1001" s="2">
        <v>53</v>
      </c>
      <c r="M1001" t="str" cm="1">
        <f t="array" ref="M1001">_xlfn.IFS(L1001&lt;=35,"YOUNG_ADULTS",L1001&lt;=55,"MIDDLE_AGED",L1001&gt;55,"OLD-AGED")</f>
        <v>MIDDLE_AGED</v>
      </c>
      <c r="N1001" s="2" t="s">
        <v>20</v>
      </c>
      <c r="O1001" t="str" cm="1">
        <f t="array" ref="O1001">_xlfn.IFS(D1001&lt;=50000,"low income",D1001&lt;=100000,"Mid income",D1001&gt;100000,"High income")</f>
        <v>Mid income</v>
      </c>
      <c r="P1001" t="str" cm="1">
        <f t="array" ref="P1001">_xlfn.IFS(E1001&lt;=2,"&lt;=2",E1001&gt;2,"&gt;2")</f>
        <v>&gt;2</v>
      </c>
    </row>
    <row r="1002" spans="1:16">
      <c r="A1002" s="2">
        <v>13507</v>
      </c>
      <c r="B1002" s="2" t="s">
        <v>16</v>
      </c>
      <c r="C1002" s="2" t="s">
        <v>17</v>
      </c>
      <c r="D1002" s="6">
        <v>10000</v>
      </c>
      <c r="E1002" s="2">
        <v>2</v>
      </c>
      <c r="F1002" s="2" t="s">
        <v>23</v>
      </c>
      <c r="G1002" s="2" t="s">
        <v>31</v>
      </c>
      <c r="H1002" s="2" t="s">
        <v>20</v>
      </c>
      <c r="I1002" s="2">
        <v>0</v>
      </c>
      <c r="J1002" s="4" t="s">
        <v>32</v>
      </c>
      <c r="K1002" s="2" t="s">
        <v>22</v>
      </c>
      <c r="L1002" s="2">
        <v>50</v>
      </c>
      <c r="M1002" t="str" cm="1">
        <f t="array" ref="M1002">_xlfn.IFS(L1002&lt;=35,"YOUNG_ADULTS",L1002&lt;=55,"MIDDLE_AGED",L1002&gt;55,"OLD-AGED")</f>
        <v>MIDDLE_AGED</v>
      </c>
      <c r="O1002" t="str" cm="1">
        <f t="array" ref="O1002">_xlfn.IFS(D1002&lt;=50000,"low income",D1002&lt;=100000,"Mid income",D1002&gt;100000,"High income")</f>
        <v>low income</v>
      </c>
      <c r="P1002" t="str" cm="1">
        <f t="array" ref="P1002">_xlfn.IFS(E1002&lt;=2,"&lt;=2",E1002&gt;2,"&gt;2")</f>
        <v>&lt;=2</v>
      </c>
    </row>
    <row r="1003" spans="1:16">
      <c r="A1003" s="2">
        <v>19280</v>
      </c>
      <c r="B1003" s="2" t="s">
        <v>16</v>
      </c>
      <c r="C1003" s="2" t="s">
        <v>16</v>
      </c>
      <c r="D1003" s="6">
        <v>120000</v>
      </c>
      <c r="E1003" s="2">
        <v>2</v>
      </c>
      <c r="F1003" s="2" t="s">
        <v>23</v>
      </c>
      <c r="G1003" s="2" t="s">
        <v>31</v>
      </c>
      <c r="H1003" s="2" t="s">
        <v>20</v>
      </c>
      <c r="I1003" s="2">
        <v>1</v>
      </c>
      <c r="J1003" s="4" t="s">
        <v>21</v>
      </c>
      <c r="K1003" s="2" t="s">
        <v>22</v>
      </c>
      <c r="L1003" s="2">
        <v>40</v>
      </c>
      <c r="M1003" t="str" cm="1">
        <f t="array" ref="M1003">_xlfn.IFS(L1003&lt;=35,"YOUNG_ADULTS",L1003&lt;=55,"MIDDLE_AGED",L1003&gt;55,"OLD-AGED")</f>
        <v>MIDDLE_AGED</v>
      </c>
      <c r="N1003" s="2" t="s">
        <v>20</v>
      </c>
      <c r="O1003" t="str" cm="1">
        <f t="array" ref="O1003">_xlfn.IFS(D1003&lt;=50000,"low income",D1003&lt;=100000,"Mid income",D1003&gt;100000,"High income")</f>
        <v>High income</v>
      </c>
      <c r="P1003" t="str" cm="1">
        <f t="array" ref="P1003">_xlfn.IFS(E1003&lt;=2,"&lt;=2",E1003&gt;2,"&gt;2")</f>
        <v>&lt;=2</v>
      </c>
    </row>
    <row r="1004" spans="1:16">
      <c r="A1004" s="2">
        <v>22173</v>
      </c>
      <c r="B1004" s="2" t="s">
        <v>16</v>
      </c>
      <c r="C1004" s="2" t="s">
        <v>17</v>
      </c>
      <c r="D1004" s="6">
        <v>30000</v>
      </c>
      <c r="E1004" s="2">
        <v>3</v>
      </c>
      <c r="F1004" s="2" t="s">
        <v>33</v>
      </c>
      <c r="G1004" s="2" t="s">
        <v>19</v>
      </c>
      <c r="H1004" s="2" t="s">
        <v>26</v>
      </c>
      <c r="I1004" s="2">
        <v>2</v>
      </c>
      <c r="J1004" s="4" t="s">
        <v>32</v>
      </c>
      <c r="K1004" s="2" t="s">
        <v>30</v>
      </c>
      <c r="L1004" s="2">
        <v>54</v>
      </c>
      <c r="M1004" t="str" cm="1">
        <f t="array" ref="M1004">_xlfn.IFS(L1004&lt;=35,"YOUNG_ADULTS",L1004&lt;=55,"MIDDLE_AGED",L1004&gt;55,"OLD-AGED")</f>
        <v>MIDDLE_AGED</v>
      </c>
      <c r="N1004" s="2" t="s">
        <v>20</v>
      </c>
      <c r="O1004" t="str" cm="1">
        <f t="array" ref="O1004">_xlfn.IFS(D1004&lt;=50000,"low income",D1004&lt;=100000,"Mid income",D1004&gt;100000,"High income")</f>
        <v>low income</v>
      </c>
      <c r="P1004" t="str" cm="1">
        <f t="array" ref="P1004">_xlfn.IFS(E1004&lt;=2,"&lt;=2",E1004&gt;2,"&gt;2")</f>
        <v>&gt;2</v>
      </c>
    </row>
    <row r="1005" spans="1:16">
      <c r="A1005" s="2">
        <v>12697</v>
      </c>
      <c r="B1005" s="2" t="s">
        <v>28</v>
      </c>
      <c r="C1005" s="2" t="s">
        <v>17</v>
      </c>
      <c r="D1005" s="6">
        <v>90000</v>
      </c>
      <c r="E1005" s="2">
        <v>0</v>
      </c>
      <c r="F1005" s="2" t="s">
        <v>18</v>
      </c>
      <c r="G1005" s="2" t="s">
        <v>25</v>
      </c>
      <c r="H1005" s="2" t="s">
        <v>26</v>
      </c>
      <c r="I1005" s="2">
        <v>4</v>
      </c>
      <c r="J1005" s="4" t="s">
        <v>36</v>
      </c>
      <c r="K1005" s="2" t="s">
        <v>30</v>
      </c>
      <c r="L1005" s="2">
        <v>36</v>
      </c>
      <c r="M1005" t="str" cm="1">
        <f t="array" ref="M1005">_xlfn.IFS(L1005&lt;=35,"YOUNG_ADULTS",L1005&lt;=55,"MIDDLE_AGED",L1005&gt;55,"OLD-AGED")</f>
        <v>MIDDLE_AGED</v>
      </c>
      <c r="O1005" t="str" cm="1">
        <f t="array" ref="O1005">_xlfn.IFS(D1005&lt;=50000,"low income",D1005&lt;=100000,"Mid income",D1005&gt;100000,"High income")</f>
        <v>Mid income</v>
      </c>
      <c r="P1005" t="str" cm="1">
        <f t="array" ref="P1005">_xlfn.IFS(E1005&lt;=2,"&lt;=2",E1005&gt;2,"&gt;2")</f>
        <v>&lt;=2</v>
      </c>
    </row>
    <row r="1006" spans="1:16">
      <c r="A1006" s="2">
        <v>11434</v>
      </c>
      <c r="B1006" s="2" t="s">
        <v>16</v>
      </c>
      <c r="C1006" s="2" t="s">
        <v>16</v>
      </c>
      <c r="D1006" s="6">
        <v>170000</v>
      </c>
      <c r="E1006" s="2">
        <v>5</v>
      </c>
      <c r="F1006" s="2" t="s">
        <v>23</v>
      </c>
      <c r="G1006" s="2" t="s">
        <v>25</v>
      </c>
      <c r="H1006" s="2" t="s">
        <v>20</v>
      </c>
      <c r="I1006" s="2">
        <v>0</v>
      </c>
      <c r="J1006" s="4" t="s">
        <v>21</v>
      </c>
      <c r="K1006" s="2" t="s">
        <v>22</v>
      </c>
      <c r="L1006" s="2">
        <v>55</v>
      </c>
      <c r="M1006" t="str" cm="1">
        <f t="array" ref="M1006">_xlfn.IFS(L1006&lt;=35,"YOUNG_ADULTS",L1006&lt;=55,"MIDDLE_AGED",L1006&gt;55,"OLD-AGED")</f>
        <v>MIDDLE_AGED</v>
      </c>
      <c r="O1006" t="str" cm="1">
        <f t="array" ref="O1006">_xlfn.IFS(D1006&lt;=50000,"low income",D1006&lt;=100000,"Mid income",D1006&gt;100000,"High income")</f>
        <v>High income</v>
      </c>
      <c r="P1006" t="str" cm="1">
        <f t="array" ref="P1006">_xlfn.IFS(E1006&lt;=2,"&lt;=2",E1006&gt;2,"&gt;2")</f>
        <v>&gt;2</v>
      </c>
    </row>
    <row r="1007" spans="1:16">
      <c r="A1007" s="2">
        <v>25323</v>
      </c>
      <c r="B1007" s="2" t="s">
        <v>16</v>
      </c>
      <c r="C1007" s="2" t="s">
        <v>16</v>
      </c>
      <c r="D1007" s="6">
        <v>40000</v>
      </c>
      <c r="E1007" s="2">
        <v>2</v>
      </c>
      <c r="F1007" s="2" t="s">
        <v>23</v>
      </c>
      <c r="G1007" s="2" t="s">
        <v>24</v>
      </c>
      <c r="H1007" s="2" t="s">
        <v>20</v>
      </c>
      <c r="I1007" s="2">
        <v>1</v>
      </c>
      <c r="J1007" s="4" t="s">
        <v>32</v>
      </c>
      <c r="K1007" s="2" t="s">
        <v>22</v>
      </c>
      <c r="L1007" s="2">
        <v>35</v>
      </c>
      <c r="M1007" t="str" cm="1">
        <f t="array" ref="M1007">_xlfn.IFS(L1007&lt;=35,"YOUNG_ADULTS",L1007&lt;=55,"MIDDLE_AGED",L1007&gt;55,"OLD-AGED")</f>
        <v>YOUNG_ADULTS</v>
      </c>
      <c r="N1007" s="2" t="s">
        <v>20</v>
      </c>
      <c r="O1007" t="str" cm="1">
        <f t="array" ref="O1007">_xlfn.IFS(D1007&lt;=50000,"low income",D1007&lt;=100000,"Mid income",D1007&gt;100000,"High income")</f>
        <v>low income</v>
      </c>
      <c r="P1007" t="str" cm="1">
        <f t="array" ref="P1007">_xlfn.IFS(E1007&lt;=2,"&lt;=2",E1007&gt;2,"&gt;2")</f>
        <v>&lt;=2</v>
      </c>
    </row>
    <row r="1008" spans="1:16">
      <c r="A1008" s="2">
        <v>23542</v>
      </c>
      <c r="B1008" s="2" t="s">
        <v>28</v>
      </c>
      <c r="C1008" s="2" t="s">
        <v>16</v>
      </c>
      <c r="D1008" s="6">
        <v>60000</v>
      </c>
      <c r="E1008" s="2">
        <v>1</v>
      </c>
      <c r="F1008" s="2" t="s">
        <v>23</v>
      </c>
      <c r="G1008" s="2" t="s">
        <v>19</v>
      </c>
      <c r="H1008" s="2" t="s">
        <v>26</v>
      </c>
      <c r="I1008" s="2">
        <v>1</v>
      </c>
      <c r="J1008" s="4" t="s">
        <v>21</v>
      </c>
      <c r="K1008" s="2" t="s">
        <v>30</v>
      </c>
      <c r="L1008" s="2">
        <v>45</v>
      </c>
      <c r="M1008" t="str" cm="1">
        <f t="array" ref="M1008">_xlfn.IFS(L1008&lt;=35,"YOUNG_ADULTS",L1008&lt;=55,"MIDDLE_AGED",L1008&gt;55,"OLD-AGED")</f>
        <v>MIDDLE_AGED</v>
      </c>
      <c r="N1008" s="2" t="s">
        <v>20</v>
      </c>
      <c r="O1008" t="str" cm="1">
        <f t="array" ref="O1008">_xlfn.IFS(D1008&lt;=50000,"low income",D1008&lt;=100000,"Mid income",D1008&gt;100000,"High income")</f>
        <v>Mid income</v>
      </c>
      <c r="P1008" t="str" cm="1">
        <f t="array" ref="P1008">_xlfn.IFS(E1008&lt;=2,"&lt;=2",E1008&gt;2,"&gt;2")</f>
        <v>&lt;=2</v>
      </c>
    </row>
    <row r="1009" spans="1:16">
      <c r="A1009" s="2">
        <v>20870</v>
      </c>
      <c r="B1009" s="2" t="s">
        <v>28</v>
      </c>
      <c r="C1009" s="2" t="s">
        <v>17</v>
      </c>
      <c r="D1009" s="6">
        <v>10000</v>
      </c>
      <c r="E1009" s="2">
        <v>2</v>
      </c>
      <c r="F1009" s="2" t="s">
        <v>33</v>
      </c>
      <c r="G1009" s="2" t="s">
        <v>31</v>
      </c>
      <c r="H1009" s="2" t="s">
        <v>20</v>
      </c>
      <c r="I1009" s="2">
        <v>1</v>
      </c>
      <c r="J1009" s="4" t="s">
        <v>21</v>
      </c>
      <c r="K1009" s="2" t="s">
        <v>22</v>
      </c>
      <c r="L1009" s="2">
        <v>38</v>
      </c>
      <c r="M1009" t="str" cm="1">
        <f t="array" ref="M1009">_xlfn.IFS(L1009&lt;=35,"YOUNG_ADULTS",L1009&lt;=55,"MIDDLE_AGED",L1009&gt;55,"OLD-AGED")</f>
        <v>MIDDLE_AGED</v>
      </c>
      <c r="N1009" s="2" t="s">
        <v>20</v>
      </c>
      <c r="O1009" t="str" cm="1">
        <f t="array" ref="O1009">_xlfn.IFS(D1009&lt;=50000,"low income",D1009&lt;=100000,"Mid income",D1009&gt;100000,"High income")</f>
        <v>low income</v>
      </c>
      <c r="P1009" t="str" cm="1">
        <f t="array" ref="P1009">_xlfn.IFS(E1009&lt;=2,"&lt;=2",E1009&gt;2,"&gt;2")</f>
        <v>&lt;=2</v>
      </c>
    </row>
    <row r="1010" spans="1:16">
      <c r="A1010" s="2">
        <v>23316</v>
      </c>
      <c r="B1010" s="2" t="s">
        <v>28</v>
      </c>
      <c r="C1010" s="2" t="s">
        <v>16</v>
      </c>
      <c r="D1010" s="6">
        <v>30000</v>
      </c>
      <c r="E1010" s="2">
        <v>3</v>
      </c>
      <c r="F1010" s="2" t="s">
        <v>23</v>
      </c>
      <c r="G1010" s="2" t="s">
        <v>24</v>
      </c>
      <c r="H1010" s="2" t="s">
        <v>26</v>
      </c>
      <c r="I1010" s="2">
        <v>2</v>
      </c>
      <c r="J1010" s="4" t="s">
        <v>32</v>
      </c>
      <c r="K1010" s="2" t="s">
        <v>30</v>
      </c>
      <c r="L1010" s="2">
        <v>59</v>
      </c>
      <c r="M1010" t="str" cm="1">
        <f t="array" ref="M1010">_xlfn.IFS(L1010&lt;=35,"YOUNG_ADULTS",L1010&lt;=55,"MIDDLE_AGED",L1010&gt;55,"OLD-AGED")</f>
        <v>OLD-AGED</v>
      </c>
      <c r="N1010" s="2" t="s">
        <v>20</v>
      </c>
      <c r="O1010" t="str" cm="1">
        <f t="array" ref="O1010">_xlfn.IFS(D1010&lt;=50000,"low income",D1010&lt;=100000,"Mid income",D1010&gt;100000,"High income")</f>
        <v>low income</v>
      </c>
      <c r="P1010" t="str" cm="1">
        <f t="array" ref="P1010">_xlfn.IFS(E1010&lt;=2,"&lt;=2",E1010&gt;2,"&gt;2")</f>
        <v>&gt;2</v>
      </c>
    </row>
    <row r="1011" spans="1:16">
      <c r="A1011" s="2">
        <v>12610</v>
      </c>
      <c r="B1011" s="2" t="s">
        <v>16</v>
      </c>
      <c r="C1011" s="2" t="s">
        <v>17</v>
      </c>
      <c r="D1011" s="6">
        <v>30000</v>
      </c>
      <c r="E1011" s="2">
        <v>1</v>
      </c>
      <c r="F1011" s="2" t="s">
        <v>18</v>
      </c>
      <c r="G1011" s="2" t="s">
        <v>24</v>
      </c>
      <c r="H1011" s="2" t="s">
        <v>20</v>
      </c>
      <c r="I1011" s="2">
        <v>0</v>
      </c>
      <c r="J1011" s="4" t="s">
        <v>21</v>
      </c>
      <c r="K1011" s="2" t="s">
        <v>22</v>
      </c>
      <c r="L1011" s="2">
        <v>47</v>
      </c>
      <c r="M1011" t="str" cm="1">
        <f t="array" ref="M1011">_xlfn.IFS(L1011&lt;=35,"YOUNG_ADULTS",L1011&lt;=55,"MIDDLE_AGED",L1011&gt;55,"OLD-AGED")</f>
        <v>MIDDLE_AGED</v>
      </c>
      <c r="O1011" t="str" cm="1">
        <f t="array" ref="O1011">_xlfn.IFS(D1011&lt;=50000,"low income",D1011&lt;=100000,"Mid income",D1011&gt;100000,"High income")</f>
        <v>low income</v>
      </c>
      <c r="P1011" t="str" cm="1">
        <f t="array" ref="P1011">_xlfn.IFS(E1011&lt;=2,"&lt;=2",E1011&gt;2,"&gt;2")</f>
        <v>&lt;=2</v>
      </c>
    </row>
    <row r="1012" spans="1:16">
      <c r="A1012" s="2">
        <v>27183</v>
      </c>
      <c r="B1012" s="2" t="s">
        <v>28</v>
      </c>
      <c r="C1012" s="2" t="s">
        <v>16</v>
      </c>
      <c r="D1012" s="6">
        <v>40000</v>
      </c>
      <c r="E1012" s="2">
        <v>2</v>
      </c>
      <c r="F1012" s="2" t="s">
        <v>23</v>
      </c>
      <c r="G1012" s="2" t="s">
        <v>24</v>
      </c>
      <c r="H1012" s="2" t="s">
        <v>20</v>
      </c>
      <c r="I1012" s="2">
        <v>1</v>
      </c>
      <c r="J1012" s="4" t="s">
        <v>32</v>
      </c>
      <c r="K1012" s="2" t="s">
        <v>22</v>
      </c>
      <c r="L1012" s="2">
        <v>35</v>
      </c>
      <c r="M1012" t="str" cm="1">
        <f t="array" ref="M1012">_xlfn.IFS(L1012&lt;=35,"YOUNG_ADULTS",L1012&lt;=55,"MIDDLE_AGED",L1012&gt;55,"OLD-AGED")</f>
        <v>YOUNG_ADULTS</v>
      </c>
      <c r="N1012" s="2" t="s">
        <v>20</v>
      </c>
      <c r="O1012" t="str" cm="1">
        <f t="array" ref="O1012">_xlfn.IFS(D1012&lt;=50000,"low income",D1012&lt;=100000,"Mid income",D1012&gt;100000,"High income")</f>
        <v>low income</v>
      </c>
      <c r="P1012" t="str" cm="1">
        <f t="array" ref="P1012">_xlfn.IFS(E1012&lt;=2,"&lt;=2",E1012&gt;2,"&gt;2")</f>
        <v>&lt;=2</v>
      </c>
    </row>
    <row r="1013" spans="1:16">
      <c r="A1013" s="2">
        <v>25940</v>
      </c>
      <c r="B1013" s="2" t="s">
        <v>28</v>
      </c>
      <c r="C1013" s="2" t="s">
        <v>16</v>
      </c>
      <c r="D1013" s="6">
        <v>20000</v>
      </c>
      <c r="E1013" s="2">
        <v>2</v>
      </c>
      <c r="F1013" s="2" t="s">
        <v>35</v>
      </c>
      <c r="G1013" s="2" t="s">
        <v>24</v>
      </c>
      <c r="H1013" s="2" t="s">
        <v>20</v>
      </c>
      <c r="I1013" s="2">
        <v>2</v>
      </c>
      <c r="J1013" s="4" t="s">
        <v>29</v>
      </c>
      <c r="K1013" s="2" t="s">
        <v>30</v>
      </c>
      <c r="L1013" s="2">
        <v>55</v>
      </c>
      <c r="M1013" t="str" cm="1">
        <f t="array" ref="M1013">_xlfn.IFS(L1013&lt;=35,"YOUNG_ADULTS",L1013&lt;=55,"MIDDLE_AGED",L1013&gt;55,"OLD-AGED")</f>
        <v>MIDDLE_AGED</v>
      </c>
      <c r="N1013" s="2" t="s">
        <v>20</v>
      </c>
      <c r="O1013" t="str" cm="1">
        <f t="array" ref="O1013">_xlfn.IFS(D1013&lt;=50000,"low income",D1013&lt;=100000,"Mid income",D1013&gt;100000,"High income")</f>
        <v>low income</v>
      </c>
      <c r="P1013" t="str" cm="1">
        <f t="array" ref="P1013">_xlfn.IFS(E1013&lt;=2,"&lt;=2",E1013&gt;2,"&gt;2")</f>
        <v>&lt;=2</v>
      </c>
    </row>
    <row r="1014" spans="1:16">
      <c r="A1014" s="2">
        <v>25598</v>
      </c>
      <c r="B1014" s="2" t="s">
        <v>16</v>
      </c>
      <c r="C1014" s="2" t="s">
        <v>17</v>
      </c>
      <c r="D1014" s="6">
        <v>40000</v>
      </c>
      <c r="E1014" s="2">
        <v>0</v>
      </c>
      <c r="F1014" s="2" t="s">
        <v>37</v>
      </c>
      <c r="G1014" s="2" t="s">
        <v>24</v>
      </c>
      <c r="H1014" s="2" t="s">
        <v>20</v>
      </c>
      <c r="I1014" s="2">
        <v>0</v>
      </c>
      <c r="J1014" s="4" t="s">
        <v>21</v>
      </c>
      <c r="K1014" s="2" t="s">
        <v>22</v>
      </c>
      <c r="L1014" s="2">
        <v>36</v>
      </c>
      <c r="M1014" t="str" cm="1">
        <f t="array" ref="M1014">_xlfn.IFS(L1014&lt;=35,"YOUNG_ADULTS",L1014&lt;=55,"MIDDLE_AGED",L1014&gt;55,"OLD-AGED")</f>
        <v>MIDDLE_AGED</v>
      </c>
      <c r="N1014" s="2" t="s">
        <v>20</v>
      </c>
      <c r="O1014" t="str" cm="1">
        <f t="array" ref="O1014">_xlfn.IFS(D1014&lt;=50000,"low income",D1014&lt;=100000,"Mid income",D1014&gt;100000,"High income")</f>
        <v>low income</v>
      </c>
      <c r="P1014" t="str" cm="1">
        <f t="array" ref="P1014">_xlfn.IFS(E1014&lt;=2,"&lt;=2",E1014&gt;2,"&gt;2")</f>
        <v>&lt;=2</v>
      </c>
    </row>
    <row r="1015" spans="1:16">
      <c r="A1015" s="2">
        <v>21564</v>
      </c>
      <c r="B1015" s="2" t="s">
        <v>28</v>
      </c>
      <c r="C1015" s="2" t="s">
        <v>17</v>
      </c>
      <c r="D1015" s="6">
        <v>80000</v>
      </c>
      <c r="E1015" s="2">
        <v>0</v>
      </c>
      <c r="F1015" s="2" t="s">
        <v>18</v>
      </c>
      <c r="G1015" s="2" t="s">
        <v>25</v>
      </c>
      <c r="H1015" s="2" t="s">
        <v>20</v>
      </c>
      <c r="I1015" s="2">
        <v>4</v>
      </c>
      <c r="J1015" s="4" t="s">
        <v>36</v>
      </c>
      <c r="K1015" s="2" t="s">
        <v>30</v>
      </c>
      <c r="L1015" s="2">
        <v>35</v>
      </c>
      <c r="M1015" t="str" cm="1">
        <f t="array" ref="M1015">_xlfn.IFS(L1015&lt;=35,"YOUNG_ADULTS",L1015&lt;=55,"MIDDLE_AGED",L1015&gt;55,"OLD-AGED")</f>
        <v>YOUNG_ADULTS</v>
      </c>
      <c r="O1015" t="str" cm="1">
        <f t="array" ref="O1015">_xlfn.IFS(D1015&lt;=50000,"low income",D1015&lt;=100000,"Mid income",D1015&gt;100000,"High income")</f>
        <v>Mid income</v>
      </c>
      <c r="P1015" t="str" cm="1">
        <f t="array" ref="P1015">_xlfn.IFS(E1015&lt;=2,"&lt;=2",E1015&gt;2,"&gt;2")</f>
        <v>&lt;=2</v>
      </c>
    </row>
    <row r="1016" spans="1:16">
      <c r="A1016" s="2">
        <v>19193</v>
      </c>
      <c r="B1016" s="2" t="s">
        <v>28</v>
      </c>
      <c r="C1016" s="2" t="s">
        <v>16</v>
      </c>
      <c r="D1016" s="6">
        <v>40000</v>
      </c>
      <c r="E1016" s="2">
        <v>2</v>
      </c>
      <c r="F1016" s="2" t="s">
        <v>23</v>
      </c>
      <c r="G1016" s="2" t="s">
        <v>24</v>
      </c>
      <c r="H1016" s="2" t="s">
        <v>20</v>
      </c>
      <c r="I1016" s="2">
        <v>0</v>
      </c>
      <c r="J1016" s="4" t="s">
        <v>32</v>
      </c>
      <c r="K1016" s="2" t="s">
        <v>22</v>
      </c>
      <c r="L1016" s="2">
        <v>35</v>
      </c>
      <c r="M1016" t="str" cm="1">
        <f t="array" ref="M1016">_xlfn.IFS(L1016&lt;=35,"YOUNG_ADULTS",L1016&lt;=55,"MIDDLE_AGED",L1016&gt;55,"OLD-AGED")</f>
        <v>YOUNG_ADULTS</v>
      </c>
      <c r="N1016" s="2" t="s">
        <v>20</v>
      </c>
      <c r="O1016" t="str" cm="1">
        <f t="array" ref="O1016">_xlfn.IFS(D1016&lt;=50000,"low income",D1016&lt;=100000,"Mid income",D1016&gt;100000,"High income")</f>
        <v>low income</v>
      </c>
      <c r="P1016" t="str" cm="1">
        <f t="array" ref="P1016">_xlfn.IFS(E1016&lt;=2,"&lt;=2",E1016&gt;2,"&gt;2")</f>
        <v>&lt;=2</v>
      </c>
    </row>
    <row r="1017" spans="1:16">
      <c r="A1017" s="2">
        <v>26412</v>
      </c>
      <c r="B1017" s="2" t="s">
        <v>16</v>
      </c>
      <c r="C1017" s="2" t="s">
        <v>17</v>
      </c>
      <c r="D1017" s="6">
        <v>80000</v>
      </c>
      <c r="E1017" s="2">
        <v>5</v>
      </c>
      <c r="F1017" s="2" t="s">
        <v>33</v>
      </c>
      <c r="G1017" s="2" t="s">
        <v>34</v>
      </c>
      <c r="H1017" s="2" t="s">
        <v>26</v>
      </c>
      <c r="I1017" s="2">
        <v>3</v>
      </c>
      <c r="J1017" s="4" t="s">
        <v>29</v>
      </c>
      <c r="K1017" s="2" t="s">
        <v>22</v>
      </c>
      <c r="L1017" s="2">
        <v>56</v>
      </c>
      <c r="M1017" t="str" cm="1">
        <f t="array" ref="M1017">_xlfn.IFS(L1017&lt;=35,"YOUNG_ADULTS",L1017&lt;=55,"MIDDLE_AGED",L1017&gt;55,"OLD-AGED")</f>
        <v>OLD-AGED</v>
      </c>
      <c r="O1017" t="str" cm="1">
        <f t="array" ref="O1017">_xlfn.IFS(D1017&lt;=50000,"low income",D1017&lt;=100000,"Mid income",D1017&gt;100000,"High income")</f>
        <v>Mid income</v>
      </c>
      <c r="P1017" t="str" cm="1">
        <f t="array" ref="P1017">_xlfn.IFS(E1017&lt;=2,"&lt;=2",E1017&gt;2,"&gt;2")</f>
        <v>&gt;2</v>
      </c>
    </row>
    <row r="1018" spans="1:16">
      <c r="A1018" s="2">
        <v>27184</v>
      </c>
      <c r="B1018" s="2" t="s">
        <v>28</v>
      </c>
      <c r="C1018" s="2" t="s">
        <v>16</v>
      </c>
      <c r="D1018" s="6">
        <v>40000</v>
      </c>
      <c r="E1018" s="2">
        <v>2</v>
      </c>
      <c r="F1018" s="2" t="s">
        <v>23</v>
      </c>
      <c r="G1018" s="2" t="s">
        <v>24</v>
      </c>
      <c r="H1018" s="2" t="s">
        <v>26</v>
      </c>
      <c r="I1018" s="2">
        <v>1</v>
      </c>
      <c r="J1018" s="4" t="s">
        <v>21</v>
      </c>
      <c r="K1018" s="2" t="s">
        <v>22</v>
      </c>
      <c r="L1018" s="2">
        <v>34</v>
      </c>
      <c r="M1018" t="str" cm="1">
        <f t="array" ref="M1018">_xlfn.IFS(L1018&lt;=35,"YOUNG_ADULTS",L1018&lt;=55,"MIDDLE_AGED",L1018&gt;55,"OLD-AGED")</f>
        <v>YOUNG_ADULTS</v>
      </c>
      <c r="O1018" t="str" cm="1">
        <f t="array" ref="O1018">_xlfn.IFS(D1018&lt;=50000,"low income",D1018&lt;=100000,"Mid income",D1018&gt;100000,"High income")</f>
        <v>low income</v>
      </c>
      <c r="P1018" t="str" cm="1">
        <f t="array" ref="P1018">_xlfn.IFS(E1018&lt;=2,"&lt;=2",E1018&gt;2,"&gt;2")</f>
        <v>&lt;=2</v>
      </c>
    </row>
    <row r="1019" spans="1:16">
      <c r="A1019" s="2">
        <v>12590</v>
      </c>
      <c r="B1019" s="2" t="s">
        <v>28</v>
      </c>
      <c r="C1019" s="2" t="s">
        <v>16</v>
      </c>
      <c r="D1019" s="6">
        <v>30000</v>
      </c>
      <c r="E1019" s="2">
        <v>1</v>
      </c>
      <c r="F1019" s="2" t="s">
        <v>18</v>
      </c>
      <c r="G1019" s="2" t="s">
        <v>24</v>
      </c>
      <c r="H1019" s="2" t="s">
        <v>20</v>
      </c>
      <c r="I1019" s="2">
        <v>0</v>
      </c>
      <c r="J1019" s="4" t="s">
        <v>21</v>
      </c>
      <c r="K1019" s="2" t="s">
        <v>22</v>
      </c>
      <c r="L1019" s="2">
        <v>63</v>
      </c>
      <c r="M1019" t="str" cm="1">
        <f t="array" ref="M1019">_xlfn.IFS(L1019&lt;=35,"YOUNG_ADULTS",L1019&lt;=55,"MIDDLE_AGED",L1019&gt;55,"OLD-AGED")</f>
        <v>OLD-AGED</v>
      </c>
      <c r="O1019" t="str" cm="1">
        <f t="array" ref="O1019">_xlfn.IFS(D1019&lt;=50000,"low income",D1019&lt;=100000,"Mid income",D1019&gt;100000,"High income")</f>
        <v>low income</v>
      </c>
      <c r="P1019" t="str" cm="1">
        <f t="array" ref="P1019">_xlfn.IFS(E1019&lt;=2,"&lt;=2",E1019&gt;2,"&gt;2")</f>
        <v>&lt;=2</v>
      </c>
    </row>
    <row r="1020" spans="1:16">
      <c r="A1020" s="2">
        <v>17841</v>
      </c>
      <c r="B1020" s="2" t="s">
        <v>28</v>
      </c>
      <c r="C1020" s="2" t="s">
        <v>16</v>
      </c>
      <c r="D1020" s="6">
        <v>30000</v>
      </c>
      <c r="E1020" s="2">
        <v>0</v>
      </c>
      <c r="F1020" s="2" t="s">
        <v>23</v>
      </c>
      <c r="G1020" s="2" t="s">
        <v>24</v>
      </c>
      <c r="H1020" s="2" t="s">
        <v>26</v>
      </c>
      <c r="I1020" s="2">
        <v>1</v>
      </c>
      <c r="J1020" s="4" t="s">
        <v>21</v>
      </c>
      <c r="K1020" s="2" t="s">
        <v>22</v>
      </c>
      <c r="L1020" s="2">
        <v>29</v>
      </c>
      <c r="M1020" t="str" cm="1">
        <f t="array" ref="M1020">_xlfn.IFS(L1020&lt;=35,"YOUNG_ADULTS",L1020&lt;=55,"MIDDLE_AGED",L1020&gt;55,"OLD-AGED")</f>
        <v>YOUNG_ADULTS</v>
      </c>
      <c r="N1020" s="2" t="s">
        <v>20</v>
      </c>
      <c r="O1020" t="str" cm="1">
        <f t="array" ref="O1020">_xlfn.IFS(D1020&lt;=50000,"low income",D1020&lt;=100000,"Mid income",D1020&gt;100000,"High income")</f>
        <v>low income</v>
      </c>
      <c r="P1020" t="str" cm="1">
        <f t="array" ref="P1020">_xlfn.IFS(E1020&lt;=2,"&lt;=2",E1020&gt;2,"&gt;2")</f>
        <v>&lt;=2</v>
      </c>
    </row>
    <row r="1021" spans="1:16">
      <c r="A1021" s="2">
        <v>18283</v>
      </c>
      <c r="B1021" s="2" t="s">
        <v>28</v>
      </c>
      <c r="C1021" s="2" t="s">
        <v>17</v>
      </c>
      <c r="D1021" s="6">
        <v>100000</v>
      </c>
      <c r="E1021" s="2">
        <v>0</v>
      </c>
      <c r="F1021" s="2" t="s">
        <v>18</v>
      </c>
      <c r="G1021" s="2" t="s">
        <v>25</v>
      </c>
      <c r="H1021" s="2" t="s">
        <v>26</v>
      </c>
      <c r="I1021" s="2">
        <v>1</v>
      </c>
      <c r="J1021" s="4" t="s">
        <v>29</v>
      </c>
      <c r="K1021" s="2" t="s">
        <v>30</v>
      </c>
      <c r="L1021" s="2">
        <v>40</v>
      </c>
      <c r="M1021" t="str" cm="1">
        <f t="array" ref="M1021">_xlfn.IFS(L1021&lt;=35,"YOUNG_ADULTS",L1021&lt;=55,"MIDDLE_AGED",L1021&gt;55,"OLD-AGED")</f>
        <v>MIDDLE_AGED</v>
      </c>
      <c r="O1021" t="str" cm="1">
        <f t="array" ref="O1021">_xlfn.IFS(D1021&lt;=50000,"low income",D1021&lt;=100000,"Mid income",D1021&gt;100000,"High income")</f>
        <v>Mid income</v>
      </c>
      <c r="P1021" t="str" cm="1">
        <f t="array" ref="P1021">_xlfn.IFS(E1021&lt;=2,"&lt;=2",E1021&gt;2,"&gt;2")</f>
        <v>&lt;=2</v>
      </c>
    </row>
    <row r="1022" spans="1:16">
      <c r="A1022" s="2">
        <v>18299</v>
      </c>
      <c r="B1022" s="2" t="s">
        <v>16</v>
      </c>
      <c r="C1022" s="2" t="s">
        <v>16</v>
      </c>
      <c r="D1022" s="6">
        <v>70000</v>
      </c>
      <c r="E1022" s="2">
        <v>5</v>
      </c>
      <c r="F1022" s="2" t="s">
        <v>23</v>
      </c>
      <c r="G1022" s="2" t="s">
        <v>19</v>
      </c>
      <c r="H1022" s="2" t="s">
        <v>20</v>
      </c>
      <c r="I1022" s="2">
        <v>2</v>
      </c>
      <c r="J1022" s="4" t="s">
        <v>29</v>
      </c>
      <c r="K1022" s="2" t="s">
        <v>30</v>
      </c>
      <c r="L1022" s="2">
        <v>44</v>
      </c>
      <c r="M1022" t="str" cm="1">
        <f t="array" ref="M1022">_xlfn.IFS(L1022&lt;=35,"YOUNG_ADULTS",L1022&lt;=55,"MIDDLE_AGED",L1022&gt;55,"OLD-AGED")</f>
        <v>MIDDLE_AGED</v>
      </c>
      <c r="O1022" t="str" cm="1">
        <f t="array" ref="O1022">_xlfn.IFS(D1022&lt;=50000,"low income",D1022&lt;=100000,"Mid income",D1022&gt;100000,"High income")</f>
        <v>Mid income</v>
      </c>
      <c r="P1022" t="str" cm="1">
        <f t="array" ref="P1022">_xlfn.IFS(E1022&lt;=2,"&lt;=2",E1022&gt;2,"&gt;2")</f>
        <v>&gt;2</v>
      </c>
    </row>
    <row r="1023" spans="1:16">
      <c r="A1023" s="2">
        <v>16466</v>
      </c>
      <c r="B1023" s="2" t="s">
        <v>28</v>
      </c>
      <c r="C1023" s="2" t="s">
        <v>17</v>
      </c>
      <c r="D1023" s="6">
        <v>20000</v>
      </c>
      <c r="E1023" s="2">
        <v>0</v>
      </c>
      <c r="F1023" s="2" t="s">
        <v>35</v>
      </c>
      <c r="G1023" s="2" t="s">
        <v>31</v>
      </c>
      <c r="H1023" s="2" t="s">
        <v>26</v>
      </c>
      <c r="I1023" s="2">
        <v>2</v>
      </c>
      <c r="J1023" s="4" t="s">
        <v>21</v>
      </c>
      <c r="K1023" s="2" t="s">
        <v>22</v>
      </c>
      <c r="L1023" s="2">
        <v>32</v>
      </c>
      <c r="M1023" t="str" cm="1">
        <f t="array" ref="M1023">_xlfn.IFS(L1023&lt;=35,"YOUNG_ADULTS",L1023&lt;=55,"MIDDLE_AGED",L1023&gt;55,"OLD-AGED")</f>
        <v>YOUNG_ADULTS</v>
      </c>
      <c r="N1023" s="2" t="s">
        <v>20</v>
      </c>
      <c r="O1023" t="str" cm="1">
        <f t="array" ref="O1023">_xlfn.IFS(D1023&lt;=50000,"low income",D1023&lt;=100000,"Mid income",D1023&gt;100000,"High income")</f>
        <v>low income</v>
      </c>
      <c r="P1023" t="str" cm="1">
        <f t="array" ref="P1023">_xlfn.IFS(E1023&lt;=2,"&lt;=2",E1023&gt;2,"&gt;2")</f>
        <v>&lt;=2</v>
      </c>
    </row>
    <row r="1024" spans="1:16">
      <c r="A1024" s="2">
        <v>19273</v>
      </c>
      <c r="B1024" s="2" t="s">
        <v>16</v>
      </c>
      <c r="C1024" s="2" t="s">
        <v>17</v>
      </c>
      <c r="D1024" s="6">
        <v>20000</v>
      </c>
      <c r="E1024" s="2">
        <v>2</v>
      </c>
      <c r="F1024" s="2" t="s">
        <v>23</v>
      </c>
      <c r="G1024" s="2" t="s">
        <v>31</v>
      </c>
      <c r="H1024" s="2" t="s">
        <v>20</v>
      </c>
      <c r="I1024" s="2">
        <v>0</v>
      </c>
      <c r="J1024" s="4" t="s">
        <v>21</v>
      </c>
      <c r="K1024" s="2" t="s">
        <v>22</v>
      </c>
      <c r="L1024" s="2">
        <v>63</v>
      </c>
      <c r="M1024" t="str" cm="1">
        <f t="array" ref="M1024">_xlfn.IFS(L1024&lt;=35,"YOUNG_ADULTS",L1024&lt;=55,"MIDDLE_AGED",L1024&gt;55,"OLD-AGED")</f>
        <v>OLD-AGED</v>
      </c>
      <c r="O1024" t="str" cm="1">
        <f t="array" ref="O1024">_xlfn.IFS(D1024&lt;=50000,"low income",D1024&lt;=100000,"Mid income",D1024&gt;100000,"High income")</f>
        <v>low income</v>
      </c>
      <c r="P1024" t="str" cm="1">
        <f t="array" ref="P1024">_xlfn.IFS(E1024&lt;=2,"&lt;=2",E1024&gt;2,"&gt;2")</f>
        <v>&lt;=2</v>
      </c>
    </row>
    <row r="1025" spans="1:16">
      <c r="A1025" s="2">
        <v>22400</v>
      </c>
      <c r="B1025" s="2" t="s">
        <v>16</v>
      </c>
      <c r="C1025" s="2" t="s">
        <v>16</v>
      </c>
      <c r="D1025" s="6">
        <v>10000</v>
      </c>
      <c r="E1025" s="2">
        <v>0</v>
      </c>
      <c r="F1025" s="2" t="s">
        <v>23</v>
      </c>
      <c r="G1025" s="2" t="s">
        <v>31</v>
      </c>
      <c r="H1025" s="2" t="s">
        <v>26</v>
      </c>
      <c r="I1025" s="2">
        <v>1</v>
      </c>
      <c r="J1025" s="4" t="s">
        <v>21</v>
      </c>
      <c r="K1025" s="2" t="s">
        <v>30</v>
      </c>
      <c r="L1025" s="2">
        <v>26</v>
      </c>
      <c r="M1025" t="str" cm="1">
        <f t="array" ref="M1025">_xlfn.IFS(L1025&lt;=35,"YOUNG_ADULTS",L1025&lt;=55,"MIDDLE_AGED",L1025&gt;55,"OLD-AGED")</f>
        <v>YOUNG_ADULTS</v>
      </c>
      <c r="N1025" s="2" t="s">
        <v>20</v>
      </c>
      <c r="O1025" t="str" cm="1">
        <f t="array" ref="O1025">_xlfn.IFS(D1025&lt;=50000,"low income",D1025&lt;=100000,"Mid income",D1025&gt;100000,"High income")</f>
        <v>low income</v>
      </c>
      <c r="P1025" t="str" cm="1">
        <f t="array" ref="P1025">_xlfn.IFS(E1025&lt;=2,"&lt;=2",E1025&gt;2,"&gt;2")</f>
        <v>&lt;=2</v>
      </c>
    </row>
    <row r="1026" spans="1:16">
      <c r="A1026" s="2">
        <v>20942</v>
      </c>
      <c r="B1026" s="2" t="s">
        <v>28</v>
      </c>
      <c r="C1026" s="2" t="s">
        <v>17</v>
      </c>
      <c r="D1026" s="6">
        <v>20000</v>
      </c>
      <c r="E1026" s="2">
        <v>0</v>
      </c>
      <c r="F1026" s="2" t="s">
        <v>33</v>
      </c>
      <c r="G1026" s="2" t="s">
        <v>31</v>
      </c>
      <c r="H1026" s="2" t="s">
        <v>26</v>
      </c>
      <c r="I1026" s="2">
        <v>1</v>
      </c>
      <c r="J1026" s="4" t="s">
        <v>29</v>
      </c>
      <c r="K1026" s="2" t="s">
        <v>22</v>
      </c>
      <c r="L1026" s="2">
        <v>31</v>
      </c>
      <c r="M1026" t="str" cm="1">
        <f t="array" ref="M1026">_xlfn.IFS(L1026&lt;=35,"YOUNG_ADULTS",L1026&lt;=55,"MIDDLE_AGED",L1026&gt;55,"OLD-AGED")</f>
        <v>YOUNG_ADULTS</v>
      </c>
      <c r="O1026" t="str" cm="1">
        <f t="array" ref="O1026">_xlfn.IFS(D1026&lt;=50000,"low income",D1026&lt;=100000,"Mid income",D1026&gt;100000,"High income")</f>
        <v>low income</v>
      </c>
      <c r="P1026" t="str" cm="1">
        <f t="array" ref="P1026">_xlfn.IFS(E1026&lt;=2,"&lt;=2",E1026&gt;2,"&gt;2")</f>
        <v>&lt;=2</v>
      </c>
    </row>
    <row r="1027" spans="1:16">
      <c r="A1027" s="2">
        <v>18484</v>
      </c>
      <c r="B1027" s="2" t="s">
        <v>28</v>
      </c>
      <c r="C1027" s="2" t="s">
        <v>16</v>
      </c>
      <c r="D1027" s="6">
        <v>80000</v>
      </c>
      <c r="E1027" s="2">
        <v>2</v>
      </c>
      <c r="F1027" s="2" t="s">
        <v>33</v>
      </c>
      <c r="G1027" s="2" t="s">
        <v>19</v>
      </c>
      <c r="H1027" s="2" t="s">
        <v>26</v>
      </c>
      <c r="I1027" s="2">
        <v>2</v>
      </c>
      <c r="J1027" s="4" t="s">
        <v>32</v>
      </c>
      <c r="K1027" s="2" t="s">
        <v>30</v>
      </c>
      <c r="L1027" s="2">
        <v>50</v>
      </c>
      <c r="M1027" t="str" cm="1">
        <f t="array" ref="M1027">_xlfn.IFS(L1027&lt;=35,"YOUNG_ADULTS",L1027&lt;=55,"MIDDLE_AGED",L1027&gt;55,"OLD-AGED")</f>
        <v>MIDDLE_AGED</v>
      </c>
      <c r="N1027" s="2" t="s">
        <v>20</v>
      </c>
      <c r="O1027" t="str" cm="1">
        <f t="array" ref="O1027">_xlfn.IFS(D1027&lt;=50000,"low income",D1027&lt;=100000,"Mid income",D1027&gt;100000,"High income")</f>
        <v>Mid income</v>
      </c>
      <c r="P1027" t="str" cm="1">
        <f t="array" ref="P1027">_xlfn.IFS(E1027&lt;=2,"&lt;=2",E1027&gt;2,"&gt;2")</f>
        <v>&lt;=2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8"/>
  <sheetViews>
    <sheetView topLeftCell="A2" workbookViewId="0">
      <selection activeCell="E27" sqref="E27"/>
    </sheetView>
  </sheetViews>
  <sheetFormatPr defaultColWidth="8.88888888888889" defaultRowHeight="14.4"/>
  <cols>
    <col min="1" max="1" width="13.7777777777778"/>
    <col min="2" max="2" width="23.7777777777778"/>
    <col min="3" max="3" width="4.66666666666667" customWidth="1"/>
    <col min="4" max="4" width="14"/>
    <col min="5" max="6" width="23.7777777777778"/>
    <col min="7" max="7" width="14"/>
    <col min="8" max="8" width="9.77777777777778"/>
    <col min="9" max="10" width="23.7777777777778"/>
  </cols>
  <sheetData>
    <row r="3" spans="1:2">
      <c r="A3" t="s">
        <v>39</v>
      </c>
      <c r="B3" t="s">
        <v>15</v>
      </c>
    </row>
    <row r="4" spans="1:8">
      <c r="A4" t="s">
        <v>14</v>
      </c>
      <c r="B4" s="1" t="s">
        <v>40</v>
      </c>
      <c r="C4" s="2" t="s">
        <v>41</v>
      </c>
      <c r="D4" s="1" t="s">
        <v>42</v>
      </c>
      <c r="G4" t="s">
        <v>1</v>
      </c>
      <c r="H4" t="s">
        <v>43</v>
      </c>
    </row>
    <row r="5" spans="1:4">
      <c r="A5" t="s">
        <v>44</v>
      </c>
      <c r="B5" s="1">
        <v>189</v>
      </c>
      <c r="C5" s="2">
        <v>45</v>
      </c>
      <c r="D5" s="1">
        <v>234</v>
      </c>
    </row>
    <row r="6" spans="1:9">
      <c r="A6" t="s">
        <v>45</v>
      </c>
      <c r="B6" s="1">
        <v>135</v>
      </c>
      <c r="C6" s="2">
        <v>85</v>
      </c>
      <c r="D6" s="1">
        <v>220</v>
      </c>
      <c r="G6" t="s">
        <v>12</v>
      </c>
      <c r="H6" t="s">
        <v>2</v>
      </c>
      <c r="I6" t="s">
        <v>39</v>
      </c>
    </row>
    <row r="7" spans="1:9">
      <c r="A7" t="s">
        <v>46</v>
      </c>
      <c r="B7" s="1">
        <v>24</v>
      </c>
      <c r="C7" s="2">
        <v>17</v>
      </c>
      <c r="D7" s="1">
        <v>41</v>
      </c>
      <c r="G7" t="s">
        <v>47</v>
      </c>
      <c r="I7">
        <v>121</v>
      </c>
    </row>
    <row r="8" spans="1:9">
      <c r="A8" t="s">
        <v>42</v>
      </c>
      <c r="B8" s="1">
        <v>348</v>
      </c>
      <c r="C8" s="2">
        <v>147</v>
      </c>
      <c r="D8" s="1">
        <v>495</v>
      </c>
      <c r="H8" t="s">
        <v>17</v>
      </c>
      <c r="I8">
        <v>56</v>
      </c>
    </row>
    <row r="9" spans="8:9">
      <c r="H9" t="s">
        <v>16</v>
      </c>
      <c r="I9">
        <v>65</v>
      </c>
    </row>
    <row r="10" spans="7:9">
      <c r="G10" t="s">
        <v>48</v>
      </c>
      <c r="I10">
        <v>319</v>
      </c>
    </row>
    <row r="11" spans="8:9">
      <c r="H11" t="s">
        <v>17</v>
      </c>
      <c r="I11">
        <v>164</v>
      </c>
    </row>
    <row r="12" spans="8:9">
      <c r="H12" t="s">
        <v>16</v>
      </c>
      <c r="I12">
        <v>155</v>
      </c>
    </row>
    <row r="13" spans="1:9">
      <c r="A13" t="s">
        <v>6</v>
      </c>
      <c r="B13" t="s">
        <v>39</v>
      </c>
      <c r="D13" t="s">
        <v>9</v>
      </c>
      <c r="E13" t="s">
        <v>39</v>
      </c>
      <c r="G13" t="s">
        <v>49</v>
      </c>
      <c r="I13">
        <v>55</v>
      </c>
    </row>
    <row r="14" spans="1:9">
      <c r="A14" t="s">
        <v>31</v>
      </c>
      <c r="B14">
        <v>59</v>
      </c>
      <c r="D14" t="s">
        <v>21</v>
      </c>
      <c r="E14">
        <v>207</v>
      </c>
      <c r="H14" t="s">
        <v>17</v>
      </c>
      <c r="I14">
        <v>23</v>
      </c>
    </row>
    <row r="15" spans="1:9">
      <c r="A15" t="s">
        <v>34</v>
      </c>
      <c r="B15">
        <v>73</v>
      </c>
      <c r="D15" t="s">
        <v>32</v>
      </c>
      <c r="E15">
        <v>83</v>
      </c>
      <c r="H15" t="s">
        <v>16</v>
      </c>
      <c r="I15">
        <v>32</v>
      </c>
    </row>
    <row r="16" spans="1:9">
      <c r="A16" t="s">
        <v>24</v>
      </c>
      <c r="B16">
        <v>95</v>
      </c>
      <c r="D16" t="s">
        <v>27</v>
      </c>
      <c r="E16">
        <v>95</v>
      </c>
      <c r="G16" t="s">
        <v>42</v>
      </c>
      <c r="I16">
        <v>495</v>
      </c>
    </row>
    <row r="17" spans="1:5">
      <c r="A17" t="s">
        <v>19</v>
      </c>
      <c r="B17">
        <v>118</v>
      </c>
      <c r="D17" t="s">
        <v>29</v>
      </c>
      <c r="E17">
        <v>77</v>
      </c>
    </row>
    <row r="18" spans="1:5">
      <c r="A18" t="s">
        <v>25</v>
      </c>
      <c r="B18">
        <v>150</v>
      </c>
      <c r="D18" t="s">
        <v>36</v>
      </c>
      <c r="E18">
        <v>33</v>
      </c>
    </row>
    <row r="19" spans="1:5">
      <c r="A19" t="s">
        <v>42</v>
      </c>
      <c r="B19">
        <v>495</v>
      </c>
      <c r="D19" t="s">
        <v>42</v>
      </c>
      <c r="E19">
        <v>495</v>
      </c>
    </row>
    <row r="23" spans="1:2">
      <c r="A23" t="s">
        <v>12</v>
      </c>
      <c r="B23" t="s">
        <v>39</v>
      </c>
    </row>
    <row r="24" spans="1:5">
      <c r="A24" t="s">
        <v>47</v>
      </c>
      <c r="B24">
        <v>121</v>
      </c>
      <c r="D24" t="s">
        <v>10</v>
      </c>
      <c r="E24" t="s">
        <v>39</v>
      </c>
    </row>
    <row r="25" spans="1:5">
      <c r="A25" t="s">
        <v>48</v>
      </c>
      <c r="B25">
        <v>319</v>
      </c>
      <c r="D25" t="s">
        <v>30</v>
      </c>
      <c r="E25">
        <v>119</v>
      </c>
    </row>
    <row r="26" spans="1:5">
      <c r="A26" t="s">
        <v>49</v>
      </c>
      <c r="B26">
        <v>55</v>
      </c>
      <c r="D26" t="s">
        <v>22</v>
      </c>
      <c r="E26">
        <v>156</v>
      </c>
    </row>
    <row r="27" spans="1:5">
      <c r="A27" t="s">
        <v>42</v>
      </c>
      <c r="B27">
        <v>495</v>
      </c>
      <c r="D27" t="s">
        <v>38</v>
      </c>
      <c r="E27">
        <v>220</v>
      </c>
    </row>
    <row r="28" spans="4:5">
      <c r="D28" t="s">
        <v>42</v>
      </c>
      <c r="E28">
        <v>495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M11" sqref="M11"/>
    </sheetView>
  </sheetViews>
  <sheetFormatPr defaultColWidth="8.88888888888889" defaultRowHeight="14.4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bike_buyers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2022-03-18T02:50:00Z</dcterms:created>
  <dcterms:modified xsi:type="dcterms:W3CDTF">2025-11-23T14:57:53Z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D747CA6FB879489AA9AB5C885A2558EC_12</vt:lpwstr>
  </property>
  <property fmtid="{D5CDD505-2E9C-101B-9397-08002B2CF9AE}" pid="3" name="KSOProductBuildVer">
    <vt:lpwstr>1033-12.2.0.23155</vt:lpwstr>
  </property>
</Properties>
</file>